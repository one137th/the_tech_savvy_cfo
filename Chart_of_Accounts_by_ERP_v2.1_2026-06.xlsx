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137thconsulting-my.sharepoint.com/personal/timothy_oreilly_one137th_com/Documents/USA Career Reboot/LinkedIn &amp; Brand Content/"/>
    </mc:Choice>
  </mc:AlternateContent>
  <xr:revisionPtr revIDLastSave="0" documentId="8_{934DCCD7-725A-4B05-9489-1B2490A16ECF}" xr6:coauthVersionLast="47" xr6:coauthVersionMax="47" xr10:uidLastSave="{00000000-0000-0000-0000-000000000000}"/>
  <bookViews>
    <workbookView xWindow="-120" yWindow="-120" windowWidth="29040" windowHeight="15720" tabRatio="882" xr2:uid="{00000000-000D-0000-FFFF-FFFF00000000}"/>
  </bookViews>
  <sheets>
    <sheet name="SUMMARY" sheetId="1" r:id="rId1"/>
    <sheet name="SAP S_4HANA" sheetId="2" r:id="rId2"/>
    <sheet name="Oracle Cloud ERP" sheetId="3" r:id="rId3"/>
    <sheet name="Dynamics 365 BC" sheetId="4" r:id="rId4"/>
    <sheet name="NetSuite" sheetId="5" r:id="rId5"/>
    <sheet name="Sage Intacct" sheetId="6" r:id="rId6"/>
    <sheet name="QuickBooks Online" sheetId="7" r:id="rId7"/>
    <sheet name="Sources" sheetId="10" r:id="rId8"/>
  </sheets>
  <definedNames>
    <definedName name="_xlnm._FilterDatabase" localSheetId="3" hidden="1">'Dynamics 365 BC'!$B$4:$R$19</definedName>
    <definedName name="_xlnm._FilterDatabase" localSheetId="7" hidden="1">Sources!$B$4:$F$27</definedName>
    <definedName name="_xlnm.Print_Area" localSheetId="3">'Dynamics 365 BC'!$A$1:$R$19</definedName>
    <definedName name="_xlnm.Print_Area" localSheetId="4">NetSuite!$A$1:$Q$19</definedName>
    <definedName name="_xlnm.Print_Area" localSheetId="2">'Oracle Cloud ERP'!$A$1:$R$17</definedName>
    <definedName name="_xlnm.Print_Area" localSheetId="6">'QuickBooks Online'!$A$1:$O$26</definedName>
    <definedName name="_xlnm.Print_Area" localSheetId="5">'Sage Intacct'!$A$1:$U$19</definedName>
    <definedName name="_xlnm.Print_Area" localSheetId="1">'SAP S_4HANA'!$A$1:$T$17</definedName>
    <definedName name="_xlnm.Print_Area" localSheetId="0">SUMMARY!$A$1:$F$14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</calcChain>
</file>

<file path=xl/sharedStrings.xml><?xml version="1.0" encoding="utf-8"?>
<sst xmlns="http://schemas.openxmlformats.org/spreadsheetml/2006/main" count="1471" uniqueCount="571">
  <si>
    <t>Chart of Accounts examples - ERP / Accounting platforms</t>
  </si>
  <si>
    <t>Each tab shows a representative Chart of Accounts (COA) for one ERP/accounting platform, with the structural fields and dimensions that platform uses to classify postings. 
Account numbers, descriptions, and dimension values are illustrative examples, not client supplied information. 
These are a useful starting point for M&amp;A Integration when comparing how each platform organizes the general ledger and the analytical dimensions hanging off it.</t>
  </si>
  <si>
    <t>Worksheet</t>
  </si>
  <si>
    <t>Platform</t>
  </si>
  <si>
    <t>Key structural concept</t>
  </si>
  <si>
    <t>Target Company Size</t>
  </si>
  <si>
    <t>SAP S_4HANA</t>
  </si>
  <si>
    <t>SAP S/4HANA (Finance)</t>
  </si>
  <si>
    <t>Operational COA + Group/Country COA. G/L Account Type (X/N/P/S/Y). Universal Journal (ACDOCA) ties G/L to Cost Center, Profit Center, Segment, Functional Area, Business Area.</t>
  </si>
  <si>
    <t>Large enterprise &amp; multinationals; typically $250M+ revenue, 1,000+ FTE.</t>
  </si>
  <si>
    <t>$500K - $5M+ for first go-live; multi-year programs common.</t>
  </si>
  <si>
    <t>Oracle Cloud ERP</t>
  </si>
  <si>
    <t>Oracle Fusion Cloud ERP - General Ledger</t>
  </si>
  <si>
    <t>Accounting Flexfield with required Balancing (Legal Entity) and Natural Account segments, plus Cost Center and optional analytical segments (Product, Project, Intercompany, Future Use). Hierarchies via Trees.</t>
  </si>
  <si>
    <t>Mid-large enterprise; $250M+ revenue. Frequent fit when running other Oracle cloud apps.</t>
  </si>
  <si>
    <t>$250K - $3M+ depending on modules and number of legal entities.</t>
  </si>
  <si>
    <t>Dynamics 365 BC</t>
  </si>
  <si>
    <t>Microsoft Dynamics 365 Business Central</t>
  </si>
  <si>
    <t>G/L Account with Account Type (Posting / Heading / Total / Begin-Total / End-Total), Account Category &amp; Subcategory, and up to 8 Dimensions (2 Global + 6 Shortcut).</t>
  </si>
  <si>
    <t>SMB through lower mid-market; $5M - $250M revenue. Common with a Microsoft-aligned tech stack.</t>
  </si>
  <si>
    <t>$30K - $250K typical; partner-led implementations.</t>
  </si>
  <si>
    <t>NetSuite</t>
  </si>
  <si>
    <t>Oracle NetSuite (OneWorld)</t>
  </si>
  <si>
    <t>Account with Type + Subsidiary (multi-entity), and 3 native classification segments - Class, Department, Location - plus user-defined Custom Segments.</t>
  </si>
  <si>
    <t>Mid-market; $10M - $1B revenue. Native fit for multi-entity, multi-currency operations.</t>
  </si>
  <si>
    <t>$50K - $500K typical; longer for OneWorld + heavy customization.</t>
  </si>
  <si>
    <t>Sage Intacct</t>
  </si>
  <si>
    <t>Account No + Category + Account Type, with multi-dimensional structure: Entity, Location, Department, Project, Customer, Vendor, Employee, Item, Class, plus user-defined dimensions.</t>
  </si>
  <si>
    <t>Mid-market services, SaaS, non-profit, healthcare; $5M - $250M revenue. Strong in 'soft' verticals.</t>
  </si>
  <si>
    <t>$25K - $150K typical; faster than NetSuite/BC for like-for-like.</t>
  </si>
  <si>
    <t>QuickBooks Online</t>
  </si>
  <si>
    <t>Intuit QuickBooks Online</t>
  </si>
  <si>
    <t>Account with Type + Detail Type, Parent for sub-accounts. Class &amp; Location tracking available on Plus/Advanced tiers.</t>
  </si>
  <si>
    <t>Small business and early-stage; up to ~$20M revenue (Advanced tier). Outgrown beyond that.</t>
  </si>
  <si>
    <t>&lt;$5K - $25K; self-serve to light bookkeeper-led.</t>
  </si>
  <si>
    <t>SAP S/4HANA - Chart of Accounts</t>
  </si>
  <si>
    <t>Operational COA in S/4HANA. Universal Journal (ACDOCA) carries the G/L account plus all analytical dimensions on a single line.</t>
  </si>
  <si>
    <t>G/L Account</t>
  </si>
  <si>
    <t>Short Text</t>
  </si>
  <si>
    <t>Long Text</t>
  </si>
  <si>
    <t>G/L Account Type</t>
  </si>
  <si>
    <t>Account Group</t>
  </si>
  <si>
    <t>P&amp;L Statement Account Type</t>
  </si>
  <si>
    <t>Chart of Accounts</t>
  </si>
  <si>
    <t>Company Code</t>
  </si>
  <si>
    <t>Controlling Area</t>
  </si>
  <si>
    <t>Cost Center</t>
  </si>
  <si>
    <t>Profit Center</t>
  </si>
  <si>
    <t>Segment</t>
  </si>
  <si>
    <t>Functional Area</t>
  </si>
  <si>
    <t>Business Area</t>
  </si>
  <si>
    <t>Account Currency</t>
  </si>
  <si>
    <t>Tax Category</t>
  </si>
  <si>
    <t>Sort Key</t>
  </si>
  <si>
    <t>Open Item Mgmt</t>
  </si>
  <si>
    <t>Line Item Display</t>
  </si>
  <si>
    <t>11001000</t>
  </si>
  <si>
    <t>Cash - Operating Bank</t>
  </si>
  <si>
    <t>Cash on hand in primary operating account</t>
  </si>
  <si>
    <t>X (Balance Sheet)</t>
  </si>
  <si>
    <t>CASH</t>
  </si>
  <si>
    <t>YCOA</t>
  </si>
  <si>
    <t>1010</t>
  </si>
  <si>
    <t>A000</t>
  </si>
  <si>
    <t>PC-CORP</t>
  </si>
  <si>
    <t>SEG-CORP</t>
  </si>
  <si>
    <t>USD</t>
  </si>
  <si>
    <t>-</t>
  </si>
  <si>
    <t>001</t>
  </si>
  <si>
    <t>No</t>
  </si>
  <si>
    <t>Yes</t>
  </si>
  <si>
    <t>12001000</t>
  </si>
  <si>
    <t>Trade Receivables - Domestic</t>
  </si>
  <si>
    <t>AR control - domestic customers (reconciliation acct)</t>
  </si>
  <si>
    <t>RECN</t>
  </si>
  <si>
    <t>PC-SALES-NA</t>
  </si>
  <si>
    <t>SEG-NA</t>
  </si>
  <si>
    <t>031</t>
  </si>
  <si>
    <t>13001000</t>
  </si>
  <si>
    <t>Inventory - Finished Goods</t>
  </si>
  <si>
    <t>Finished goods at standard cost</t>
  </si>
  <si>
    <t>MATL</t>
  </si>
  <si>
    <t>PC-OPS-MFG</t>
  </si>
  <si>
    <t>SEG-OPS</t>
  </si>
  <si>
    <t>16001000</t>
  </si>
  <si>
    <t>Machinery &amp; Equipment</t>
  </si>
  <si>
    <t>Production machinery - gross</t>
  </si>
  <si>
    <t>ANLN</t>
  </si>
  <si>
    <t>018</t>
  </si>
  <si>
    <t>21001000</t>
  </si>
  <si>
    <t>Trade Payables - Domestic</t>
  </si>
  <si>
    <t>AP control - domestic vendors (reconciliation acct)</t>
  </si>
  <si>
    <t>KRED</t>
  </si>
  <si>
    <t>V0</t>
  </si>
  <si>
    <t>30001000</t>
  </si>
  <si>
    <t>Common Stock</t>
  </si>
  <si>
    <t>Issued common stock at par</t>
  </si>
  <si>
    <t>EIGN</t>
  </si>
  <si>
    <t>40001000</t>
  </si>
  <si>
    <t>Product Revenue - NA</t>
  </si>
  <si>
    <t>External revenue - North America</t>
  </si>
  <si>
    <t>N (Non-operating)</t>
  </si>
  <si>
    <t>ERLS</t>
  </si>
  <si>
    <t>X (P&amp;L)</t>
  </si>
  <si>
    <t>YB10 (Sales)</t>
  </si>
  <si>
    <t>BA10</t>
  </si>
  <si>
    <t>A1</t>
  </si>
  <si>
    <t>50001000</t>
  </si>
  <si>
    <t>COGS - Finished Goods</t>
  </si>
  <si>
    <t>Cost of goods sold - finished product</t>
  </si>
  <si>
    <t>P (Primary Costs/Rev)</t>
  </si>
  <si>
    <t>GBB</t>
  </si>
  <si>
    <t>CC-COGS-MFG</t>
  </si>
  <si>
    <t>YB20 (COGS)</t>
  </si>
  <si>
    <t>60001000</t>
  </si>
  <si>
    <t>Salaries &amp; Wages</t>
  </si>
  <si>
    <t>Salaried payroll - ops</t>
  </si>
  <si>
    <t>GL</t>
  </si>
  <si>
    <t>CC-OPS-100</t>
  </si>
  <si>
    <t>YB30 (Admin)</t>
  </si>
  <si>
    <t>62001000</t>
  </si>
  <si>
    <t>Internal Activity Allocation</t>
  </si>
  <si>
    <t>Secondary cost - activity-based allocations</t>
  </si>
  <si>
    <t>S (Secondary Costs)</t>
  </si>
  <si>
    <t>YB30</t>
  </si>
  <si>
    <t>64001000</t>
  </si>
  <si>
    <t>Marketing Expense</t>
  </si>
  <si>
    <t>External advertising &amp; promo</t>
  </si>
  <si>
    <t>CC-MKT-200</t>
  </si>
  <si>
    <t>YB40 (S&amp;M)</t>
  </si>
  <si>
    <t>V1</t>
  </si>
  <si>
    <t>70001000</t>
  </si>
  <si>
    <t>Interest Income</t>
  </si>
  <si>
    <t>Interest earned on cash deposits</t>
  </si>
  <si>
    <t>YB50 (Other)</t>
  </si>
  <si>
    <t>75001000</t>
  </si>
  <si>
    <t>Income Tax Expense</t>
  </si>
  <si>
    <t>Current period income tax</t>
  </si>
  <si>
    <t>YB60 (Tax)</t>
  </si>
  <si>
    <t>Oracle Fusion Cloud ERP - Chart of Accounts</t>
  </si>
  <si>
    <t>COA built as a segmented Accounting Flexfield. The concatenated string is the 'Account Code Combination' (CCID) - every segment is reportable.</t>
  </si>
  <si>
    <t>Account Code (concatenated)</t>
  </si>
  <si>
    <t>Legal Entity</t>
  </si>
  <si>
    <t>Natural Account</t>
  </si>
  <si>
    <t>Intercompany</t>
  </si>
  <si>
    <t>Product</t>
  </si>
  <si>
    <t>Project</t>
  </si>
  <si>
    <t>Future Use</t>
  </si>
  <si>
    <t>Account Description</t>
  </si>
  <si>
    <t>Account Type</t>
  </si>
  <si>
    <t>Posting Allowed</t>
  </si>
  <si>
    <t>Budgeting Allowed</t>
  </si>
  <si>
    <t>Third-Party Control</t>
  </si>
  <si>
    <t>Reconcile Flag</t>
  </si>
  <si>
    <t>Ledger</t>
  </si>
  <si>
    <t>Hierarchy / Tree</t>
  </si>
  <si>
    <t>Currency</t>
  </si>
  <si>
    <t>01-000-11010-0000-000-000-000</t>
  </si>
  <si>
    <t>01 US Inc</t>
  </si>
  <si>
    <t>000 No CC</t>
  </si>
  <si>
    <t>11010 Cash - Operating</t>
  </si>
  <si>
    <t>0000</t>
  </si>
  <si>
    <t>000</t>
  </si>
  <si>
    <t>Cash - US operating bank</t>
  </si>
  <si>
    <t>Asset</t>
  </si>
  <si>
    <t>US Primary</t>
  </si>
  <si>
    <t>Corp Account Hierarchy v3</t>
  </si>
  <si>
    <t>01-100-12010-0000-000-000-000</t>
  </si>
  <si>
    <t>100 Finance</t>
  </si>
  <si>
    <t>12010 AR Trade</t>
  </si>
  <si>
    <t>Accounts receivable - trade</t>
  </si>
  <si>
    <t>Customer</t>
  </si>
  <si>
    <t>01-300-13050-0000-200-000-000</t>
  </si>
  <si>
    <t>300 Operations</t>
  </si>
  <si>
    <t>13050 Inventory - FG</t>
  </si>
  <si>
    <t>200 Widgets</t>
  </si>
  <si>
    <t>Finished goods - Widgets product line</t>
  </si>
  <si>
    <t>01-300-15010-0000-000-000-000</t>
  </si>
  <si>
    <t>15010 PP&amp;E - Machinery</t>
  </si>
  <si>
    <t>Machinery &amp; equipment - gross</t>
  </si>
  <si>
    <t>01-100-21010-0000-000-000-000</t>
  </si>
  <si>
    <t>21010 AP Trade</t>
  </si>
  <si>
    <t>Accounts payable - trade</t>
  </si>
  <si>
    <t>Liability</t>
  </si>
  <si>
    <t>Supplier</t>
  </si>
  <si>
    <t>01-000-31010-0000-000-000-000</t>
  </si>
  <si>
    <t>31010 Common Stock</t>
  </si>
  <si>
    <t>Common stock at par</t>
  </si>
  <si>
    <t>Owner's Equity</t>
  </si>
  <si>
    <t>01-200-41010-0000-200-000-000</t>
  </si>
  <si>
    <t>200 Sales-NA</t>
  </si>
  <si>
    <t>41010 Product Revenue</t>
  </si>
  <si>
    <t>External product revenue - Widgets</t>
  </si>
  <si>
    <t>Revenue</t>
  </si>
  <si>
    <t>01-300-51010-0000-200-000-000</t>
  </si>
  <si>
    <t>51010 COGS - Material</t>
  </si>
  <si>
    <t>Cost of goods sold - material</t>
  </si>
  <si>
    <t>Expense</t>
  </si>
  <si>
    <t>01-300-61010-0000-000-000-000</t>
  </si>
  <si>
    <t>61010 Salaries</t>
  </si>
  <si>
    <t>Salary &amp; wages - operations</t>
  </si>
  <si>
    <t>01-400-62050-0000-000-000-000</t>
  </si>
  <si>
    <t>400 Marketing</t>
  </si>
  <si>
    <t>62050 Advertising</t>
  </si>
  <si>
    <t>Advertising &amp; promotion</t>
  </si>
  <si>
    <t>02-000-11010-0000-000-000-000</t>
  </si>
  <si>
    <t>02 UK Ltd</t>
  </si>
  <si>
    <t>Cash - UK operating bank</t>
  </si>
  <si>
    <t>UK Primary</t>
  </si>
  <si>
    <t>GBP</t>
  </si>
  <si>
    <t>02-200-41010-0000-200-000-000</t>
  </si>
  <si>
    <t>200 Sales-EMEA</t>
  </si>
  <si>
    <t>External product revenue - UK</t>
  </si>
  <si>
    <t>01-100-29010-0200-000-000-000</t>
  </si>
  <si>
    <t>29010 Intercompany Payable</t>
  </si>
  <si>
    <t>0200 to UK</t>
  </si>
  <si>
    <t>Intercompany payable to 02 UK Ltd</t>
  </si>
  <si>
    <t xml:space="preserve">The Account code is easily read by CONCAT of the following fields: </t>
  </si>
  <si>
    <t>Microsoft Dynamics 365 Business Central - Chart of Accounts</t>
  </si>
  <si>
    <t>G/L accounts with structural rows (Heading/Begin-Total/End-Total) and up to 8 Dimensions for analytical reporting.</t>
  </si>
  <si>
    <t>Account No.</t>
  </si>
  <si>
    <t>Name</t>
  </si>
  <si>
    <t>Income / Balance Sheet</t>
  </si>
  <si>
    <t>Account Category</t>
  </si>
  <si>
    <t>Account Subcategory</t>
  </si>
  <si>
    <t>Debit/Credit</t>
  </si>
  <si>
    <t>Direct Posting</t>
  </si>
  <si>
    <t>Blocked</t>
  </si>
  <si>
    <t>Totaling</t>
  </si>
  <si>
    <t>Global Dim 1 - Department</t>
  </si>
  <si>
    <t>Global Dim 2 - Project</t>
  </si>
  <si>
    <t>Shortcut Dim 3 - Customer Group</t>
  </si>
  <si>
    <t>Shortcut Dim 4 - Salesperson</t>
  </si>
  <si>
    <t>Shortcut Dim 5 - Area</t>
  </si>
  <si>
    <t>Shortcut Dim 6 - Cost Center</t>
  </si>
  <si>
    <t>Reconciliation Acct</t>
  </si>
  <si>
    <t>10000</t>
  </si>
  <si>
    <t>ASSETS</t>
  </si>
  <si>
    <t>Heading</t>
  </si>
  <si>
    <t>Balance Sheet</t>
  </si>
  <si>
    <t>Both</t>
  </si>
  <si>
    <t xml:space="preserve"> </t>
  </si>
  <si>
    <t>10100</t>
  </si>
  <si>
    <t>Current Assets</t>
  </si>
  <si>
    <t>Begin-Total</t>
  </si>
  <si>
    <t>Assets</t>
  </si>
  <si>
    <t>10110</t>
  </si>
  <si>
    <t>Cash - Operating</t>
  </si>
  <si>
    <t>Posting</t>
  </si>
  <si>
    <t>Cash</t>
  </si>
  <si>
    <t>Debit</t>
  </si>
  <si>
    <t>ADM</t>
  </si>
  <si>
    <t>EAST</t>
  </si>
  <si>
    <t>10120</t>
  </si>
  <si>
    <t>Accounts Receivable</t>
  </si>
  <si>
    <t>AR</t>
  </si>
  <si>
    <t>SALES</t>
  </si>
  <si>
    <t>10130</t>
  </si>
  <si>
    <t>Inventory</t>
  </si>
  <si>
    <t>PROD</t>
  </si>
  <si>
    <t>10199</t>
  </si>
  <si>
    <t>Total Current Assets</t>
  </si>
  <si>
    <t>End-Total</t>
  </si>
  <si>
    <t>10100..10198</t>
  </si>
  <si>
    <t>20000</t>
  </si>
  <si>
    <t>LIABILITIES</t>
  </si>
  <si>
    <t>20110</t>
  </si>
  <si>
    <t>Accounts Payable</t>
  </si>
  <si>
    <t>Liabilities</t>
  </si>
  <si>
    <t>AP</t>
  </si>
  <si>
    <t>Credit</t>
  </si>
  <si>
    <t>30100</t>
  </si>
  <si>
    <t>Equity</t>
  </si>
  <si>
    <t>40000</t>
  </si>
  <si>
    <t>INCOME</t>
  </si>
  <si>
    <t>Income Statement</t>
  </si>
  <si>
    <t>40100</t>
  </si>
  <si>
    <t>Product Sales - Domestic</t>
  </si>
  <si>
    <t>Income</t>
  </si>
  <si>
    <t>Sales of Goods</t>
  </si>
  <si>
    <t>PROJ-001</t>
  </si>
  <si>
    <t>WHOLESALE</t>
  </si>
  <si>
    <t>JS-100</t>
  </si>
  <si>
    <t>50100</t>
  </si>
  <si>
    <t>COGS - Material</t>
  </si>
  <si>
    <t>Cost of Goods Sold</t>
  </si>
  <si>
    <t>Material</t>
  </si>
  <si>
    <t>CC-MFG-10</t>
  </si>
  <si>
    <t>60100</t>
  </si>
  <si>
    <t>Salaries Expense</t>
  </si>
  <si>
    <t>Personnel</t>
  </si>
  <si>
    <t>CC-ADM-50</t>
  </si>
  <si>
    <t>60200</t>
  </si>
  <si>
    <t>Advertising</t>
  </si>
  <si>
    <t>Marketing</t>
  </si>
  <si>
    <t>MKT</t>
  </si>
  <si>
    <t>PROJ-CAMP1</t>
  </si>
  <si>
    <t>RETAIL</t>
  </si>
  <si>
    <t>WEST</t>
  </si>
  <si>
    <t>CC-MKT-20</t>
  </si>
  <si>
    <t>60999</t>
  </si>
  <si>
    <t>Total Expenses</t>
  </si>
  <si>
    <t>60100..60998</t>
  </si>
  <si>
    <t>Oracle NetSuite (OneWorld) - Chart of Accounts</t>
  </si>
  <si>
    <t>Accounts scoped by Subsidiary, classified by Class / Department / Location, and extended with Custom Segments.</t>
  </si>
  <si>
    <t>Number</t>
  </si>
  <si>
    <t>Type</t>
  </si>
  <si>
    <t>Description</t>
  </si>
  <si>
    <t>Subsidiary</t>
  </si>
  <si>
    <t>Parent Account</t>
  </si>
  <si>
    <t>Class</t>
  </si>
  <si>
    <t>Department</t>
  </si>
  <si>
    <t>Location</t>
  </si>
  <si>
    <t>Cash Flow Rate Type</t>
  </si>
  <si>
    <t>General Rate Type</t>
  </si>
  <si>
    <t>Custom Segment - Region</t>
  </si>
  <si>
    <t>Custom Segment - Channel</t>
  </si>
  <si>
    <t>Inactive</t>
  </si>
  <si>
    <t>Include Children</t>
  </si>
  <si>
    <t>1000</t>
  </si>
  <si>
    <t>Bank - Operating (US)</t>
  </si>
  <si>
    <t>Bank</t>
  </si>
  <si>
    <t>Primary US operating bank account</t>
  </si>
  <si>
    <t>Parent : US Holdings : US Operating</t>
  </si>
  <si>
    <t>US-HQ</t>
  </si>
  <si>
    <t>Average</t>
  </si>
  <si>
    <t>AMER</t>
  </si>
  <si>
    <t>1100</t>
  </si>
  <si>
    <t>AR control account</t>
  </si>
  <si>
    <t>Current</t>
  </si>
  <si>
    <t>1200</t>
  </si>
  <si>
    <t>Finished goods at average cost</t>
  </si>
  <si>
    <t>Product : Widgets</t>
  </si>
  <si>
    <t>Operations</t>
  </si>
  <si>
    <t>US-DC1</t>
  </si>
  <si>
    <t>DIRECT</t>
  </si>
  <si>
    <t>1500</t>
  </si>
  <si>
    <t>Property, Plant &amp; Equipment</t>
  </si>
  <si>
    <t>Fixed Asset</t>
  </si>
  <si>
    <t>PP&amp;E - gross</t>
  </si>
  <si>
    <t>Historical</t>
  </si>
  <si>
    <t>2000</t>
  </si>
  <si>
    <t>AP control account</t>
  </si>
  <si>
    <t>Finance</t>
  </si>
  <si>
    <t>2500</t>
  </si>
  <si>
    <t>Intercompany Payable - UK</t>
  </si>
  <si>
    <t>Other Current Liability</t>
  </si>
  <si>
    <t>Due to UK subsidiary</t>
  </si>
  <si>
    <t>3000</t>
  </si>
  <si>
    <t>Common stock</t>
  </si>
  <si>
    <t>Parent : US Holdings</t>
  </si>
  <si>
    <t>4000</t>
  </si>
  <si>
    <t>Product Revenue</t>
  </si>
  <si>
    <t>External product revenue</t>
  </si>
  <si>
    <t>Sales</t>
  </si>
  <si>
    <t>4010</t>
  </si>
  <si>
    <t>Product Revenue - Channel</t>
  </si>
  <si>
    <t>Revenue via reseller channel</t>
  </si>
  <si>
    <t>RESELLER</t>
  </si>
  <si>
    <t>5000</t>
  </si>
  <si>
    <t>Material cost of finished goods sold</t>
  </si>
  <si>
    <t>6100</t>
  </si>
  <si>
    <t>Salary &amp; wages</t>
  </si>
  <si>
    <t>6200</t>
  </si>
  <si>
    <t>Advertising Expense</t>
  </si>
  <si>
    <t>Digital + traditional advertising</t>
  </si>
  <si>
    <t>7100</t>
  </si>
  <si>
    <t>Other Income</t>
  </si>
  <si>
    <t>Interest earned on cash</t>
  </si>
  <si>
    <t>1000-UK</t>
  </si>
  <si>
    <t>Bank - Operating (UK)</t>
  </si>
  <si>
    <t>Primary UK operating bank account</t>
  </si>
  <si>
    <t>Parent : UK Holdings : UK Trading</t>
  </si>
  <si>
    <t>UK-LON</t>
  </si>
  <si>
    <t>EMEA</t>
  </si>
  <si>
    <t>4000-UK</t>
  </si>
  <si>
    <t>Product Revenue - UK</t>
  </si>
  <si>
    <t>Sage Intacct - Chart of Accounts</t>
  </si>
  <si>
    <t>Compact account list combined with rich, configurable dimensions. Per-account 'Require' flags enforce dimension discipline.</t>
  </si>
  <si>
    <t>Account No</t>
  </si>
  <si>
    <t>Account Title</t>
  </si>
  <si>
    <t>Category</t>
  </si>
  <si>
    <t>Normal Balance</t>
  </si>
  <si>
    <t>Status</t>
  </si>
  <si>
    <t>Closing Type</t>
  </si>
  <si>
    <t>Closing Account</t>
  </si>
  <si>
    <t>Entity</t>
  </si>
  <si>
    <t>Vendor</t>
  </si>
  <si>
    <t>Employee</t>
  </si>
  <si>
    <t>Item</t>
  </si>
  <si>
    <t>Require Dept</t>
  </si>
  <si>
    <t>Require Location</t>
  </si>
  <si>
    <t>Balance Sheet Account</t>
  </si>
  <si>
    <t>Active</t>
  </si>
  <si>
    <t>Non-Closing</t>
  </si>
  <si>
    <t>100 US Entity</t>
  </si>
  <si>
    <t>US-NY</t>
  </si>
  <si>
    <t>200 Finance</t>
  </si>
  <si>
    <t>Required</t>
  </si>
  <si>
    <t>1300</t>
  </si>
  <si>
    <t>2010</t>
  </si>
  <si>
    <t>Due to Intercompany - UK</t>
  </si>
  <si>
    <t>3010</t>
  </si>
  <si>
    <t>3900</t>
  </si>
  <si>
    <t>Retained Earnings</t>
  </si>
  <si>
    <t>Income Statement Account</t>
  </si>
  <si>
    <t>Closing to Retained Earnings</t>
  </si>
  <si>
    <t>400 Sales</t>
  </si>
  <si>
    <t>Optional</t>
  </si>
  <si>
    <t>5010</t>
  </si>
  <si>
    <t>6010</t>
  </si>
  <si>
    <t>6210</t>
  </si>
  <si>
    <t>Marketing &amp; Advertising</t>
  </si>
  <si>
    <t>500 Marketing</t>
  </si>
  <si>
    <t>9100</t>
  </si>
  <si>
    <t>Headcount - Statistical</t>
  </si>
  <si>
    <t>Statistical Account</t>
  </si>
  <si>
    <t>Statistical</t>
  </si>
  <si>
    <t>Cash - UK Bank</t>
  </si>
  <si>
    <t>200 UK Entity</t>
  </si>
  <si>
    <t>Intuit QuickBooks Online - Chart of Accounts</t>
  </si>
  <si>
    <t>Standard COA with Type + Detail Type. Class and Location dimensions are available on Plus / Advanced subscriptions.</t>
  </si>
  <si>
    <t>Account Number</t>
  </si>
  <si>
    <t>Detail Type</t>
  </si>
  <si>
    <t>Sub-account</t>
  </si>
  <si>
    <t>Class (Plus/Adv)</t>
  </si>
  <si>
    <t>Location (Plus/Adv)</t>
  </si>
  <si>
    <t>Default Tax Code</t>
  </si>
  <si>
    <t>Bank Acct / Routing</t>
  </si>
  <si>
    <t>Opening Balance</t>
  </si>
  <si>
    <t>Operating Checking</t>
  </si>
  <si>
    <t>Checking</t>
  </si>
  <si>
    <t>Primary business checking account</t>
  </si>
  <si>
    <t>Main Office</t>
  </si>
  <si>
    <t>Out of scope</t>
  </si>
  <si>
    <t>****1234</t>
  </si>
  <si>
    <t>10200</t>
  </si>
  <si>
    <t>Savings</t>
  </si>
  <si>
    <t>Reserve cash savings</t>
  </si>
  <si>
    <t>****5678</t>
  </si>
  <si>
    <t>11000</t>
  </si>
  <si>
    <t>Accounts receivable (A/R)</t>
  </si>
  <si>
    <t>Accounts Receivable (A/R)</t>
  </si>
  <si>
    <t>AR control - customers</t>
  </si>
  <si>
    <t>12000</t>
  </si>
  <si>
    <t>Inventory Asset</t>
  </si>
  <si>
    <t>Other Current Assets</t>
  </si>
  <si>
    <t>Inventory at cost</t>
  </si>
  <si>
    <t>Warehouse</t>
  </si>
  <si>
    <t>12500</t>
  </si>
  <si>
    <t>Prepaid Expenses</t>
  </si>
  <si>
    <t>Prepaid insurance, rent, software</t>
  </si>
  <si>
    <t>15000</t>
  </si>
  <si>
    <t>Equipment</t>
  </si>
  <si>
    <t>Fixed Assets</t>
  </si>
  <si>
    <t>Production equipment - at cost</t>
  </si>
  <si>
    <t>15100</t>
  </si>
  <si>
    <t>Accumulated Depreciation - Equipment</t>
  </si>
  <si>
    <t>Accumulated Depreciation</t>
  </si>
  <si>
    <t>Contra to 15000</t>
  </si>
  <si>
    <t>Accounts payable (A/P)</t>
  </si>
  <si>
    <t>Accounts Payable (A/P)</t>
  </si>
  <si>
    <t>AP control - vendors</t>
  </si>
  <si>
    <t>21000</t>
  </si>
  <si>
    <t>Visa Credit Card</t>
  </si>
  <si>
    <t>Credit Card</t>
  </si>
  <si>
    <t>Corporate Visa</t>
  </si>
  <si>
    <t>****9999</t>
  </si>
  <si>
    <t>22000</t>
  </si>
  <si>
    <t>Sales Tax Payable</t>
  </si>
  <si>
    <t>Other Current Liabilities</t>
  </si>
  <si>
    <t>Collected sales tax</t>
  </si>
  <si>
    <t>30000</t>
  </si>
  <si>
    <t>Issued common stock</t>
  </si>
  <si>
    <t>32000</t>
  </si>
  <si>
    <t>Auto-managed by QBO at year-end</t>
  </si>
  <si>
    <t>Product Sales</t>
  </si>
  <si>
    <t>Sales of Product Income</t>
  </si>
  <si>
    <t>Revenue from product sales</t>
  </si>
  <si>
    <t>Taxable</t>
  </si>
  <si>
    <t>Service Income</t>
  </si>
  <si>
    <t>Service/Fee Income</t>
  </si>
  <si>
    <t>Revenue from services</t>
  </si>
  <si>
    <t>Service : Consulting</t>
  </si>
  <si>
    <t>49000</t>
  </si>
  <si>
    <t>Sales Discounts</t>
  </si>
  <si>
    <t>Discounts/Refunds Given</t>
  </si>
  <si>
    <t>Contra-revenue</t>
  </si>
  <si>
    <t>50000</t>
  </si>
  <si>
    <t>Supplies &amp; Materials - COGS</t>
  </si>
  <si>
    <t>Material COGS</t>
  </si>
  <si>
    <t>60000</t>
  </si>
  <si>
    <t>Payroll Expenses</t>
  </si>
  <si>
    <t>Expenses</t>
  </si>
  <si>
    <t>Parent rollup - payroll</t>
  </si>
  <si>
    <t>Payroll Expenses : Wages</t>
  </si>
  <si>
    <t>Wages &amp; salary</t>
  </si>
  <si>
    <t>62000</t>
  </si>
  <si>
    <t>Advertising &amp; Marketing</t>
  </si>
  <si>
    <t>Advertising/Promotional</t>
  </si>
  <si>
    <t>Digital + print ads</t>
  </si>
  <si>
    <t>63000</t>
  </si>
  <si>
    <t>Rent or Lease</t>
  </si>
  <si>
    <t>Rent or Lease of Buildings</t>
  </si>
  <si>
    <t>Office &amp; warehouse rent</t>
  </si>
  <si>
    <t>70000</t>
  </si>
  <si>
    <t>Interest Earned</t>
  </si>
  <si>
    <t>Bank interest</t>
  </si>
  <si>
    <t>80000</t>
  </si>
  <si>
    <t>Interest Expense</t>
  </si>
  <si>
    <t>Other Expense</t>
  </si>
  <si>
    <t>Interest Paid</t>
  </si>
  <si>
    <t>Loan interest</t>
  </si>
  <si>
    <t>SAP S/4HANA</t>
  </si>
  <si>
    <t>#</t>
  </si>
  <si>
    <t>Sources &amp; References</t>
  </si>
  <si>
    <t>Articles and documentation pages used to compile this workbook. Order roughly follows the platform tabs.</t>
  </si>
  <si>
    <t>Platform / Topic</t>
  </si>
  <si>
    <t>Title</t>
  </si>
  <si>
    <t>Publisher</t>
  </si>
  <si>
    <t>Link</t>
  </si>
  <si>
    <t>Creating Profit Center Master Data</t>
  </si>
  <si>
    <t>SAP Learning</t>
  </si>
  <si>
    <t>Open</t>
  </si>
  <si>
    <t>Mastering Cost Center, Profit Center &amp; Segment Structures in SAP S/4HANA Cloud, Public Edition</t>
  </si>
  <si>
    <t>SAP Community</t>
  </si>
  <si>
    <t>SAP S/4HANA Profit Center Accounting</t>
  </si>
  <si>
    <t>Eursap Blog</t>
  </si>
  <si>
    <t>Best Practices for Designing the Chart of Accounts in Oracle Fusion Application</t>
  </si>
  <si>
    <t>Oracle Cloud Customer Connect</t>
  </si>
  <si>
    <t>Create a Chart of Accounts Structure and Instance</t>
  </si>
  <si>
    <t>Oracle Help Center</t>
  </si>
  <si>
    <t>Improve Financial Insight With a Corporate Chart of Accounts</t>
  </si>
  <si>
    <t>Oracle Blogs (erp-ace)</t>
  </si>
  <si>
    <t>Structure Your Account Hierarchies for Optimal Processing and Reporting</t>
  </si>
  <si>
    <t>Dimensions in Microsoft Dynamics 365 Business Central (SaaS): A Comprehensive Guide for Finance Users</t>
  </si>
  <si>
    <t>Affordable ERP Solutions</t>
  </si>
  <si>
    <t>Global Financial Architecture: A Comparative Analysis of Chart of Accounts Design for SME and Enterprise Ecosystems</t>
  </si>
  <si>
    <t>Research paper</t>
  </si>
  <si>
    <t>Work with dimensions to track and analyze data</t>
  </si>
  <si>
    <t>Microsoft Learn (Business Central)</t>
  </si>
  <si>
    <t>Mastering Dimension Reporting in Dynamics 365 Business Central: Insights, Challenges, and Solutions with Popdock</t>
  </si>
  <si>
    <t>Popdock blog</t>
  </si>
  <si>
    <t>Understanding Dimensions in Business Central: Tips for Better Reporting</t>
  </si>
  <si>
    <t>Western Computer / Microsoft partner</t>
  </si>
  <si>
    <t>Dynamics 365 BC vs GP</t>
  </si>
  <si>
    <t>Understanding Dimensions in Dynamics 365 Business Central vs. Segments in Dynamics GP (Great Plains)</t>
  </si>
  <si>
    <t>Fidesic</t>
  </si>
  <si>
    <t>Segment Structure Basics in NetSuite</t>
  </si>
  <si>
    <t>OptimalData Consulting</t>
  </si>
  <si>
    <t>Defining your NetSuite Chart of Accounts</t>
  </si>
  <si>
    <t>Coras Consulting</t>
  </si>
  <si>
    <t>How to import accounts from QuickBooks to NetSuite</t>
  </si>
  <si>
    <t>NetSuite Chart of Accounts Best Practices for Scalability &amp; Compliance</t>
  </si>
  <si>
    <t>Cirrus ERP</t>
  </si>
  <si>
    <t>NetSuite Chart of Accounts Template</t>
  </si>
  <si>
    <t>Numeric</t>
  </si>
  <si>
    <t>NetSuite Classes, Departments, Subsidiaries, Locations</t>
  </si>
  <si>
    <t>Anchor Group</t>
  </si>
  <si>
    <t>Comparing Dynamics 365 Business Central and Sage Intacct</t>
  </si>
  <si>
    <t>ArcherPoint</t>
  </si>
  <si>
    <t>Intercompany Accounting and Best Practices</t>
  </si>
  <si>
    <t>Rand Group</t>
  </si>
  <si>
    <t>Set up chart of accounts using the QuickBooks Online template</t>
  </si>
  <si>
    <t>Intuit</t>
  </si>
  <si>
    <t>General</t>
  </si>
  <si>
    <t>What is IFRS - Definition</t>
  </si>
  <si>
    <t>Xero US</t>
  </si>
  <si>
    <t>ERP migrations are almost always upward on this list (from SMB systems to Mid-market or Enterprise).
The most common platform migration paths are: 
- QuickBooks -&gt; NetSuite / Intacct / Business Central (acquistion driven or capabilities needed);
- Intacct / MSBC / NetSuite =&gt; Oracle Fusion or SAP S/4HANA (an enterprise re-platform driven by complexity, multi-entity, or IPO readiness); or
- an on-premise SAP ECC / Oracle instance =&gt; their cloud successors. 
Downward moves (SAP or Oracle -&gt; QuickBooks or Sage) are rare and almost always tied to a subsidiary divestiture, carve-out, or management buyout where the spin-off entity needs a lighter, cheaper system. 
The mapping risk profile is very different in each direction: upward migrations expand dimensionality (and have to manufacture or default new fields); downward migrations collapse it (and lose analytical detail). The Mapping Risks tab flags where the collapse is most painful.</t>
  </si>
  <si>
    <t>Implementation Costs Range (USD)</t>
  </si>
  <si>
    <t>Migration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</si>
</sst>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12"/>
      <color theme="1"/>
      <name val="Calibri"/>
      <family val="2"/>
      <scheme val="minor"/>
    </font>
    <font>
      <b/>
      <sz val="18"/>
      <color rgb="FF1F3864"/>
      <name val="Arial"/>
      <family val="2"/>
    </font>
    <font>
      <sz val="18"/>
      <color theme="1"/>
      <name val="Calibri"/>
      <family val="2"/>
      <scheme val="minor"/>
    </font>
    <font>
      <i/>
      <sz val="12"/>
      <color rgb="FF595959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9"/>
      <color theme="1"/>
      <name val="Arial"/>
      <family val="2"/>
    </font>
    <font>
      <i/>
      <sz val="9"/>
      <color rgb="FF595959"/>
      <name val="Arial"/>
      <family val="2"/>
    </font>
    <font>
      <u/>
      <sz val="9"/>
      <color rgb="FF0563C1"/>
      <name val="Arial"/>
      <family val="2"/>
    </font>
    <font>
      <sz val="10"/>
      <color rgb="FFFF0000"/>
      <name val="Arial"/>
      <family val="2"/>
    </font>
    <font>
      <u/>
      <sz val="11"/>
      <color theme="10"/>
      <name val="Arial"/>
      <family val="2"/>
    </font>
    <font>
      <b/>
      <sz val="9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9" fillId="2" borderId="1" xfId="0" applyFont="1" applyFill="1" applyBorder="1" applyAlignment="1">
      <alignment horizontal="left" vertical="center" wrapText="1" indent="1"/>
    </xf>
    <xf numFmtId="0" fontId="10" fillId="0" borderId="0" xfId="0" applyFont="1"/>
    <xf numFmtId="0" fontId="10" fillId="0" borderId="0" xfId="0" applyFont="1" applyAlignment="1">
      <alignment horizontal="left" vertical="center" indent="1"/>
    </xf>
    <xf numFmtId="0" fontId="12" fillId="0" borderId="0" xfId="0" applyFont="1"/>
    <xf numFmtId="0" fontId="12" fillId="0" borderId="0" xfId="0" applyFont="1" applyAlignment="1">
      <alignment wrapText="1"/>
    </xf>
    <xf numFmtId="0" fontId="13" fillId="3" borderId="1" xfId="1" applyFont="1" applyFill="1" applyBorder="1" applyAlignment="1">
      <alignment horizontal="left" vertical="center" wrapText="1" indent="1"/>
    </xf>
    <xf numFmtId="0" fontId="13" fillId="0" borderId="1" xfId="1" applyFont="1" applyBorder="1" applyAlignment="1">
      <alignment horizontal="left" vertical="center" wrapText="1" indent="1"/>
    </xf>
    <xf numFmtId="0" fontId="12" fillId="0" borderId="0" xfId="0" applyFont="1" applyAlignment="1">
      <alignment horizontal="left" vertical="center" indent="1"/>
    </xf>
    <xf numFmtId="0" fontId="14" fillId="0" borderId="0" xfId="0" applyFont="1"/>
    <xf numFmtId="0" fontId="15" fillId="0" borderId="0" xfId="0" applyFont="1"/>
    <xf numFmtId="0" fontId="3" fillId="0" borderId="0" xfId="0" applyFont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indent="1"/>
    </xf>
    <xf numFmtId="0" fontId="14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 indent="1"/>
    </xf>
    <xf numFmtId="164" fontId="3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2" fillId="5" borderId="2" xfId="0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18" fillId="0" borderId="2" xfId="0" applyFont="1" applyBorder="1" applyAlignment="1">
      <alignment horizontal="left" vertical="center" wrapText="1" indent="1"/>
    </xf>
    <xf numFmtId="0" fontId="3" fillId="6" borderId="2" xfId="0" applyFont="1" applyFill="1" applyBorder="1" applyAlignment="1">
      <alignment horizontal="left" vertical="center" wrapText="1" indent="1"/>
    </xf>
    <xf numFmtId="0" fontId="18" fillId="6" borderId="2" xfId="0" applyFont="1" applyFill="1" applyBorder="1" applyAlignment="1">
      <alignment horizontal="left" vertical="center" wrapText="1" indent="1"/>
    </xf>
    <xf numFmtId="0" fontId="19" fillId="0" borderId="0" xfId="0" applyFont="1" applyAlignment="1">
      <alignment horizontal="left" vertical="center" indent="1"/>
    </xf>
    <xf numFmtId="0" fontId="20" fillId="3" borderId="1" xfId="1" applyFont="1" applyFill="1" applyBorder="1" applyAlignment="1">
      <alignment horizontal="left" vertical="center" wrapText="1" indent="1"/>
    </xf>
    <xf numFmtId="0" fontId="21" fillId="7" borderId="4" xfId="0" applyFont="1" applyFill="1" applyBorder="1" applyAlignment="1">
      <alignment horizontal="left" indent="1"/>
    </xf>
    <xf numFmtId="0" fontId="3" fillId="8" borderId="5" xfId="0" applyFont="1" applyFill="1" applyBorder="1" applyAlignment="1">
      <alignment horizontal="left" vertical="center" wrapText="1" indent="1"/>
    </xf>
    <xf numFmtId="0" fontId="3" fillId="8" borderId="3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1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118533</xdr:colOff>
      <xdr:row>5</xdr:row>
      <xdr:rowOff>103505</xdr:rowOff>
    </xdr:from>
    <xdr:to>
      <xdr:col>8</xdr:col>
      <xdr:colOff>340572</xdr:colOff>
      <xdr:row>10</xdr:row>
      <xdr:rowOff>553305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C69906DE-BB1A-492C-9C3D-8AD310EE1284}"/>
            </a:ext>
          </a:extLst>
        </xdr:cNvPr>
        <xdr:cNvGrpSpPr/>
      </xdr:nvGrpSpPr>
      <xdr:grpSpPr>
        <a:xfrm>
          <a:off x="12608189" y="1698943"/>
          <a:ext cx="1436477" cy="4259800"/>
          <a:chOff x="13436600" y="1686772"/>
          <a:chExt cx="1441239" cy="4259800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6F9BBA28-D791-A490-8E04-2D23518542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452911" y="1686772"/>
            <a:ext cx="966754" cy="494877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A88782E-354D-3D1D-9B88-0EF4737BAB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436600" y="2640680"/>
            <a:ext cx="1441239" cy="187144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271349E8-D564-ECE1-3B95-36FC31981D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474065" y="3253184"/>
            <a:ext cx="794174" cy="446726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01CCDFCC-B46A-0898-4B64-B3421E9536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494597" y="4052254"/>
            <a:ext cx="873849" cy="317318"/>
          </a:xfrm>
          <a:prstGeom prst="rect">
            <a:avLst/>
          </a:prstGeom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9ABA9F1F-B1CE-C52F-4B48-91CA637621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3494385" y="4894743"/>
            <a:ext cx="738128" cy="334483"/>
          </a:xfrm>
          <a:prstGeom prst="rect">
            <a:avLst/>
          </a:prstGeom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70417B30-8F7D-DCDA-F84E-B27C1210E2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3477028" y="5609943"/>
            <a:ext cx="1295400" cy="33662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38100</xdr:rowOff>
    </xdr:from>
    <xdr:to>
      <xdr:col>12</xdr:col>
      <xdr:colOff>537210</xdr:colOff>
      <xdr:row>43</xdr:row>
      <xdr:rowOff>41910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B85E58-05E1-4A38-8A04-824E8174F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209925"/>
          <a:ext cx="16586835" cy="3813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</xdr:colOff>
      <xdr:row>22</xdr:row>
      <xdr:rowOff>51435</xdr:rowOff>
    </xdr:from>
    <xdr:to>
      <xdr:col>12</xdr:col>
      <xdr:colOff>34290</xdr:colOff>
      <xdr:row>39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676841-B1BA-E578-46F0-D34CFC245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4375785"/>
          <a:ext cx="18491835" cy="3049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57150</xdr:rowOff>
    </xdr:from>
    <xdr:to>
      <xdr:col>13</xdr:col>
      <xdr:colOff>922020</xdr:colOff>
      <xdr:row>42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0C4CEA-026F-CD27-C938-9A98C55EF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533775"/>
          <a:ext cx="15561945" cy="3432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95250</xdr:rowOff>
    </xdr:from>
    <xdr:to>
      <xdr:col>13</xdr:col>
      <xdr:colOff>118110</xdr:colOff>
      <xdr:row>40</xdr:row>
      <xdr:rowOff>99060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99F010-0E87-7396-B36D-CEA8DBFC8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571875"/>
          <a:ext cx="17015460" cy="3051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</xdr:colOff>
      <xdr:row>20</xdr:row>
      <xdr:rowOff>135255</xdr:rowOff>
    </xdr:from>
    <xdr:to>
      <xdr:col>12</xdr:col>
      <xdr:colOff>931545</xdr:colOff>
      <xdr:row>40</xdr:row>
      <xdr:rowOff>140970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95AE8F-F465-13AB-FF10-BFE5144F8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" y="3611880"/>
          <a:ext cx="15215235" cy="3051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27</xdr:row>
      <xdr:rowOff>47625</xdr:rowOff>
    </xdr:from>
    <xdr:to>
      <xdr:col>16</xdr:col>
      <xdr:colOff>179070</xdr:colOff>
      <xdr:row>45</xdr:row>
      <xdr:rowOff>49530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7197E9-B139-76BE-9165-5BC0C8AEF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4676775"/>
          <a:ext cx="19263360" cy="3432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blogs.oracle.com/ace/post/structure-your-account-hierarchies-for-optimal-processing-and-reporting" TargetMode="External"/><Relationship Id="rId18" Type="http://schemas.openxmlformats.org/officeDocument/2006/relationships/hyperlink" Target="https://www.researchgate.net/publication/336886772" TargetMode="External"/><Relationship Id="rId26" Type="http://schemas.openxmlformats.org/officeDocument/2006/relationships/hyperlink" Target="https://www.fidesic.com/blog/business-central-vs-great-plains-dimensions-vs-segments" TargetMode="External"/><Relationship Id="rId39" Type="http://schemas.openxmlformats.org/officeDocument/2006/relationships/hyperlink" Target="https://www.archerpoint.com/blog/comparing-dynamics-365-business-central-and-sage-intacct/" TargetMode="External"/><Relationship Id="rId21" Type="http://schemas.openxmlformats.org/officeDocument/2006/relationships/hyperlink" Target="https://www.popdock.com/blog/mastering-dimension-reporting-in-dynamics-365-business-central" TargetMode="External"/><Relationship Id="rId34" Type="http://schemas.openxmlformats.org/officeDocument/2006/relationships/hyperlink" Target="https://cirruserp.com/netsuite-chart-of-accounts-best-practices-for-scalability-compliance/" TargetMode="External"/><Relationship Id="rId42" Type="http://schemas.openxmlformats.org/officeDocument/2006/relationships/hyperlink" Target="https://www.randgroup.com/insights/intercompany-accounting-and-best-practices/" TargetMode="External"/><Relationship Id="rId7" Type="http://schemas.openxmlformats.org/officeDocument/2006/relationships/hyperlink" Target="https://community.oracle.com/customerconnect/discussion/700876/best-practices-for-designing-the-chart-of-accounts-in-oracle-fusion-application" TargetMode="External"/><Relationship Id="rId2" Type="http://schemas.openxmlformats.org/officeDocument/2006/relationships/hyperlink" Target="https://learning.sap.com/learning-journeys/discovering-business-processes-in-sap-s-4hana-finance/creating-profit-center-master-data_5b21fbd1-cbe9-4f0d-9bdc-d23ce11d8a18" TargetMode="External"/><Relationship Id="rId16" Type="http://schemas.openxmlformats.org/officeDocument/2006/relationships/hyperlink" Target="https://affordableerp.solutions/microsoft-dynamics-365-business-central-saas/dimensions-in-microsoft-dynamics-365-business-central-a-comprehensive-guide-for-finance-users/" TargetMode="External"/><Relationship Id="rId29" Type="http://schemas.openxmlformats.org/officeDocument/2006/relationships/hyperlink" Target="https://www.corasconsulting.com/blog/defining-your-netsuite-chart-of-accounts" TargetMode="External"/><Relationship Id="rId1" Type="http://schemas.openxmlformats.org/officeDocument/2006/relationships/hyperlink" Target="https://learning.sap.com/learning-journeys/discovering-business-processes-in-sap-s-4hana-finance/creating-profit-center-master-data_5b21fbd1-cbe9-4f0d-9bdc-d23ce11d8a18" TargetMode="External"/><Relationship Id="rId6" Type="http://schemas.openxmlformats.org/officeDocument/2006/relationships/hyperlink" Target="https://eursap.eu/2023/02/14/eursaps-tip-of-the-week-sap-s-4hana-profit-center-accounting/" TargetMode="External"/><Relationship Id="rId11" Type="http://schemas.openxmlformats.org/officeDocument/2006/relationships/hyperlink" Target="https://blogs.oracle.com/ace/post/improve-financial-insight-with-a-corporate-chart-of-accounts" TargetMode="External"/><Relationship Id="rId24" Type="http://schemas.openxmlformats.org/officeDocument/2006/relationships/hyperlink" Target="https://www.westerncomputer.com/blog/understanding-dimensions-in-business-central" TargetMode="External"/><Relationship Id="rId32" Type="http://schemas.openxmlformats.org/officeDocument/2006/relationships/hyperlink" Target="https://www.optimaldataconsulting.com/blog/how-to-import-accounts-from-quickbooks-to-netsuite" TargetMode="External"/><Relationship Id="rId37" Type="http://schemas.openxmlformats.org/officeDocument/2006/relationships/hyperlink" Target="https://www.anchorgroup.tech/post/netsuite-classes-departments-subsidiaries-locations" TargetMode="External"/><Relationship Id="rId40" Type="http://schemas.openxmlformats.org/officeDocument/2006/relationships/hyperlink" Target="https://www.archerpoint.com/blog/comparing-dynamics-365-business-central-and-sage-intacct/" TargetMode="External"/><Relationship Id="rId45" Type="http://schemas.openxmlformats.org/officeDocument/2006/relationships/hyperlink" Target="https://www.xero.com/us/glossary/ifrs/" TargetMode="External"/><Relationship Id="rId5" Type="http://schemas.openxmlformats.org/officeDocument/2006/relationships/hyperlink" Target="https://eursap.eu/2023/02/14/eursaps-tip-of-the-week-sap-s-4hana-profit-center-accounting/" TargetMode="External"/><Relationship Id="rId15" Type="http://schemas.openxmlformats.org/officeDocument/2006/relationships/hyperlink" Target="https://affordableerp.solutions/microsoft-dynamics-365-business-central-saas/dimensions-in-microsoft-dynamics-365-business-central-a-comprehensive-guide-for-finance-users/" TargetMode="External"/><Relationship Id="rId23" Type="http://schemas.openxmlformats.org/officeDocument/2006/relationships/hyperlink" Target="https://www.westerncomputer.com/blog/understanding-dimensions-in-business-central" TargetMode="External"/><Relationship Id="rId28" Type="http://schemas.openxmlformats.org/officeDocument/2006/relationships/hyperlink" Target="https://www.optimaldataconsulting.com/blog/segment-structure-basics-in-netsuite" TargetMode="External"/><Relationship Id="rId36" Type="http://schemas.openxmlformats.org/officeDocument/2006/relationships/hyperlink" Target="https://www.numeric.io/templates/netsuite-chart-of-accounts" TargetMode="External"/><Relationship Id="rId10" Type="http://schemas.openxmlformats.org/officeDocument/2006/relationships/hyperlink" Target="https://docs.oracle.com/en/cloud/saas/financials/24a/faigl/create-a-chart-of-accounts-structure-and-instance.html" TargetMode="External"/><Relationship Id="rId19" Type="http://schemas.openxmlformats.org/officeDocument/2006/relationships/hyperlink" Target="https://learn.microsoft.com/en-us/dynamics365/business-central/finance-dimensions" TargetMode="External"/><Relationship Id="rId31" Type="http://schemas.openxmlformats.org/officeDocument/2006/relationships/hyperlink" Target="https://www.optimaldataconsulting.com/blog/how-to-import-accounts-from-quickbooks-to-netsuite" TargetMode="External"/><Relationship Id="rId44" Type="http://schemas.openxmlformats.org/officeDocument/2006/relationships/hyperlink" Target="https://quickbooks.intuit.com/learn-support/en-us/help-article/import-export-data/use-chart-accounts-template/L1Q3sVT2A_US_en_US" TargetMode="External"/><Relationship Id="rId4" Type="http://schemas.openxmlformats.org/officeDocument/2006/relationships/hyperlink" Target="https://community.sap.com/t5/enterprise-resource-planning-blog-posts-by-members/mastering-cost-center-profit-center-amp-segment-structures-in-sap-s/ba-p/13988632" TargetMode="External"/><Relationship Id="rId9" Type="http://schemas.openxmlformats.org/officeDocument/2006/relationships/hyperlink" Target="https://docs.oracle.com/en/cloud/saas/financials/24a/faigl/create-a-chart-of-accounts-structure-and-instance.html" TargetMode="External"/><Relationship Id="rId14" Type="http://schemas.openxmlformats.org/officeDocument/2006/relationships/hyperlink" Target="https://blogs.oracle.com/ace/post/structure-your-account-hierarchies-for-optimal-processing-and-reporting" TargetMode="External"/><Relationship Id="rId22" Type="http://schemas.openxmlformats.org/officeDocument/2006/relationships/hyperlink" Target="https://www.popdock.com/blog/mastering-dimension-reporting-in-dynamics-365-business-central" TargetMode="External"/><Relationship Id="rId27" Type="http://schemas.openxmlformats.org/officeDocument/2006/relationships/hyperlink" Target="https://www.optimaldataconsulting.com/blog/segment-structure-basics-in-netsuite" TargetMode="External"/><Relationship Id="rId30" Type="http://schemas.openxmlformats.org/officeDocument/2006/relationships/hyperlink" Target="https://www.corasconsulting.com/blog/defining-your-netsuite-chart-of-accounts" TargetMode="External"/><Relationship Id="rId35" Type="http://schemas.openxmlformats.org/officeDocument/2006/relationships/hyperlink" Target="https://www.numeric.io/templates/netsuite-chart-of-accounts" TargetMode="External"/><Relationship Id="rId43" Type="http://schemas.openxmlformats.org/officeDocument/2006/relationships/hyperlink" Target="https://quickbooks.intuit.com/learn-support/en-us/help-article/import-export-data/use-chart-accounts-template/L1Q3sVT2A_US_en_US" TargetMode="External"/><Relationship Id="rId8" Type="http://schemas.openxmlformats.org/officeDocument/2006/relationships/hyperlink" Target="https://community.oracle.com/customerconnect/discussion/700876/best-practices-for-designing-the-chart-of-accounts-in-oracle-fusion-application" TargetMode="External"/><Relationship Id="rId3" Type="http://schemas.openxmlformats.org/officeDocument/2006/relationships/hyperlink" Target="https://community.sap.com/t5/enterprise-resource-planning-blog-posts-by-members/mastering-cost-center-profit-center-amp-segment-structures-in-sap-s/ba-p/13988632" TargetMode="External"/><Relationship Id="rId12" Type="http://schemas.openxmlformats.org/officeDocument/2006/relationships/hyperlink" Target="https://blogs.oracle.com/ace/post/improve-financial-insight-with-a-corporate-chart-of-accounts" TargetMode="External"/><Relationship Id="rId17" Type="http://schemas.openxmlformats.org/officeDocument/2006/relationships/hyperlink" Target="https://www.researchgate.net/publication/336886772" TargetMode="External"/><Relationship Id="rId25" Type="http://schemas.openxmlformats.org/officeDocument/2006/relationships/hyperlink" Target="https://www.fidesic.com/blog/business-central-vs-great-plains-dimensions-vs-segments" TargetMode="External"/><Relationship Id="rId33" Type="http://schemas.openxmlformats.org/officeDocument/2006/relationships/hyperlink" Target="https://cirruserp.com/netsuite-chart-of-accounts-best-practices-for-scalability-compliance/" TargetMode="External"/><Relationship Id="rId38" Type="http://schemas.openxmlformats.org/officeDocument/2006/relationships/hyperlink" Target="https://www.anchorgroup.tech/post/netsuite-classes-departments-subsidiaries-locations" TargetMode="External"/><Relationship Id="rId46" Type="http://schemas.openxmlformats.org/officeDocument/2006/relationships/hyperlink" Target="https://www.xero.com/us/glossary/ifrs/" TargetMode="External"/><Relationship Id="rId20" Type="http://schemas.openxmlformats.org/officeDocument/2006/relationships/hyperlink" Target="https://learn.microsoft.com/en-us/dynamics365/business-central/finance-dimensions" TargetMode="External"/><Relationship Id="rId41" Type="http://schemas.openxmlformats.org/officeDocument/2006/relationships/hyperlink" Target="https://www.randgroup.com/insights/intercompany-accounting-and-best-pract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F14"/>
  <sheetViews>
    <sheetView showGridLines="0" tabSelected="1"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defaultRowHeight="14.25" x14ac:dyDescent="0.2"/>
  <cols>
    <col min="1" max="1" width="1.7109375" style="19" customWidth="1"/>
    <col min="2" max="2" width="18" style="19" customWidth="1"/>
    <col min="3" max="3" width="33.5703125" style="19" customWidth="1"/>
    <col min="4" max="4" width="60" style="19" customWidth="1"/>
    <col min="5" max="6" width="37" style="19" customWidth="1"/>
    <col min="7" max="16384" width="9.140625" style="19"/>
  </cols>
  <sheetData>
    <row r="1" spans="1:6" s="27" customFormat="1" ht="23.25" customHeight="1" x14ac:dyDescent="0.35">
      <c r="A1" s="2" t="s">
        <v>0</v>
      </c>
      <c r="B1" s="2"/>
      <c r="C1" s="2"/>
      <c r="D1" s="2"/>
      <c r="E1" s="2"/>
      <c r="F1" s="2"/>
    </row>
    <row r="3" spans="1:6" s="22" customFormat="1" ht="44.25" customHeight="1" x14ac:dyDescent="0.2">
      <c r="B3" s="77" t="s">
        <v>1</v>
      </c>
      <c r="C3" s="77"/>
      <c r="D3" s="77"/>
      <c r="E3" s="77"/>
      <c r="F3" s="77"/>
    </row>
    <row r="5" spans="1:6" ht="30" customHeight="1" x14ac:dyDescent="0.2">
      <c r="B5" s="14" t="s">
        <v>2</v>
      </c>
      <c r="C5" s="14" t="s">
        <v>3</v>
      </c>
      <c r="D5" s="14" t="s">
        <v>4</v>
      </c>
      <c r="E5" s="14" t="s">
        <v>5</v>
      </c>
      <c r="F5" s="14" t="s">
        <v>569</v>
      </c>
    </row>
    <row r="6" spans="1:6" ht="60" customHeight="1" x14ac:dyDescent="0.2">
      <c r="B6" s="73" t="s">
        <v>6</v>
      </c>
      <c r="C6" s="16" t="s">
        <v>7</v>
      </c>
      <c r="D6" s="16" t="s">
        <v>8</v>
      </c>
      <c r="E6" s="16" t="s">
        <v>9</v>
      </c>
      <c r="F6" s="16" t="s">
        <v>10</v>
      </c>
    </row>
    <row r="7" spans="1:6" ht="60" customHeight="1" x14ac:dyDescent="0.2">
      <c r="B7" s="24" t="s">
        <v>11</v>
      </c>
      <c r="C7" s="15" t="s">
        <v>12</v>
      </c>
      <c r="D7" s="15" t="s">
        <v>13</v>
      </c>
      <c r="E7" s="15" t="s">
        <v>14</v>
      </c>
      <c r="F7" s="15" t="s">
        <v>15</v>
      </c>
    </row>
    <row r="8" spans="1:6" ht="60" customHeight="1" x14ac:dyDescent="0.2">
      <c r="B8" s="23" t="s">
        <v>16</v>
      </c>
      <c r="C8" s="16" t="s">
        <v>17</v>
      </c>
      <c r="D8" s="16" t="s">
        <v>18</v>
      </c>
      <c r="E8" s="16" t="s">
        <v>19</v>
      </c>
      <c r="F8" s="16" t="s">
        <v>20</v>
      </c>
    </row>
    <row r="9" spans="1:6" ht="60" customHeight="1" x14ac:dyDescent="0.2">
      <c r="B9" s="24" t="s">
        <v>21</v>
      </c>
      <c r="C9" s="15" t="s">
        <v>22</v>
      </c>
      <c r="D9" s="15" t="s">
        <v>23</v>
      </c>
      <c r="E9" s="15" t="s">
        <v>24</v>
      </c>
      <c r="F9" s="15" t="s">
        <v>25</v>
      </c>
    </row>
    <row r="10" spans="1:6" ht="60" customHeight="1" x14ac:dyDescent="0.2">
      <c r="B10" s="23" t="s">
        <v>26</v>
      </c>
      <c r="C10" s="16" t="s">
        <v>26</v>
      </c>
      <c r="D10" s="16" t="s">
        <v>27</v>
      </c>
      <c r="E10" s="16" t="s">
        <v>28</v>
      </c>
      <c r="F10" s="16" t="s">
        <v>29</v>
      </c>
    </row>
    <row r="11" spans="1:6" ht="60" customHeight="1" x14ac:dyDescent="0.2">
      <c r="B11" s="24" t="s">
        <v>30</v>
      </c>
      <c r="C11" s="15" t="s">
        <v>31</v>
      </c>
      <c r="D11" s="15" t="s">
        <v>32</v>
      </c>
      <c r="E11" s="15" t="s">
        <v>33</v>
      </c>
      <c r="F11" s="15" t="s">
        <v>34</v>
      </c>
    </row>
    <row r="13" spans="1:6" x14ac:dyDescent="0.2">
      <c r="B13" s="74" t="s">
        <v>570</v>
      </c>
      <c r="C13" s="74"/>
      <c r="D13" s="74"/>
      <c r="E13" s="74"/>
      <c r="F13" s="74"/>
    </row>
    <row r="14" spans="1:6" ht="150" customHeight="1" x14ac:dyDescent="0.2">
      <c r="B14" s="75" t="s">
        <v>568</v>
      </c>
      <c r="C14" s="76"/>
      <c r="D14" s="76"/>
      <c r="E14" s="76"/>
      <c r="F14" s="76"/>
    </row>
  </sheetData>
  <mergeCells count="3">
    <mergeCell ref="B13:F13"/>
    <mergeCell ref="B14:F14"/>
    <mergeCell ref="B3:F3"/>
  </mergeCells>
  <hyperlinks>
    <hyperlink ref="B6" location="'SAP S_4HANA'!A1" display="SAP S_4HANA" xr:uid="{00000000-0004-0000-0000-000000000000}"/>
    <hyperlink ref="B7" location="'Oracle Cloud ERP'!A1" display="Oracle Cloud ERP" xr:uid="{00000000-0004-0000-0000-000001000000}"/>
    <hyperlink ref="B8" location="'Dynamics 365 BC'!A1" display="Dynamics 365 BC" xr:uid="{00000000-0004-0000-0000-000002000000}"/>
    <hyperlink ref="B9" location="NetSuite!A1" display="NetSuite" xr:uid="{00000000-0004-0000-0000-000003000000}"/>
    <hyperlink ref="B10" location="'Sage Intacct'!A1" display="Sage Intacct" xr:uid="{00000000-0004-0000-0000-000004000000}"/>
    <hyperlink ref="B11" location="'QuickBooks Online'!A1" display="QuickBooks Online" xr:uid="{00000000-0004-0000-0000-000005000000}"/>
  </hyperlinks>
  <printOptions horizontalCentered="1"/>
  <pageMargins left="0.4" right="0.4" top="0.5" bottom="0.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  <pageSetUpPr fitToPage="1"/>
  </sheetPr>
  <dimension ref="A1:T17"/>
  <sheetViews>
    <sheetView showGridLines="0" zoomScale="80" zoomScaleNormal="80" workbookViewId="0">
      <selection activeCell="B1" sqref="B1"/>
    </sheetView>
  </sheetViews>
  <sheetFormatPr defaultRowHeight="12" x14ac:dyDescent="0.25"/>
  <cols>
    <col min="1" max="1" width="1.7109375" style="31" customWidth="1"/>
    <col min="2" max="2" width="16.5703125" style="32" customWidth="1"/>
    <col min="3" max="3" width="31.5703125" style="25" customWidth="1"/>
    <col min="4" max="4" width="52.42578125" style="25" customWidth="1"/>
    <col min="5" max="5" width="21" style="25" bestFit="1" customWidth="1"/>
    <col min="6" max="6" width="11.28515625" style="32" bestFit="1" customWidth="1"/>
    <col min="7" max="7" width="22.140625" style="32" bestFit="1" customWidth="1"/>
    <col min="8" max="8" width="16" style="32" customWidth="1"/>
    <col min="9" max="9" width="12" style="32" customWidth="1"/>
    <col min="10" max="10" width="14" style="32" customWidth="1"/>
    <col min="11" max="11" width="24.42578125" style="32" customWidth="1"/>
    <col min="12" max="12" width="19.28515625" style="32" customWidth="1"/>
    <col min="13" max="13" width="14" style="32" customWidth="1"/>
    <col min="14" max="14" width="24.5703125" style="32" customWidth="1"/>
    <col min="15" max="20" width="14" style="32" customWidth="1"/>
    <col min="21" max="21" width="9.140625" style="31" customWidth="1"/>
    <col min="22" max="16384" width="9.140625" style="31"/>
  </cols>
  <sheetData>
    <row r="1" spans="1:20" s="33" customFormat="1" ht="23.25" customHeight="1" x14ac:dyDescent="0.25">
      <c r="A1" s="6" t="s">
        <v>35</v>
      </c>
      <c r="B1" s="43"/>
      <c r="C1" s="34"/>
      <c r="O1" s="43"/>
      <c r="P1" s="43"/>
      <c r="Q1" s="43"/>
      <c r="R1" s="43"/>
      <c r="S1" s="43"/>
      <c r="T1" s="43"/>
    </row>
    <row r="2" spans="1:20" s="35" customFormat="1" ht="15" customHeight="1" x14ac:dyDescent="0.25">
      <c r="B2" s="78" t="s">
        <v>36</v>
      </c>
      <c r="C2" s="79"/>
      <c r="D2" s="79"/>
      <c r="E2" s="79"/>
      <c r="O2" s="44"/>
      <c r="P2" s="44"/>
      <c r="Q2" s="44"/>
      <c r="R2" s="44"/>
      <c r="S2" s="44"/>
      <c r="T2" s="44"/>
    </row>
    <row r="4" spans="1:20" s="21" customFormat="1" ht="32.1" customHeight="1" x14ac:dyDescent="0.2">
      <c r="A4" s="31"/>
      <c r="B4" s="1" t="s">
        <v>37</v>
      </c>
      <c r="C4" s="29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" t="s">
        <v>44</v>
      </c>
      <c r="J4" s="1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54</v>
      </c>
      <c r="T4" s="1" t="s">
        <v>55</v>
      </c>
    </row>
    <row r="5" spans="1:20" s="21" customFormat="1" x14ac:dyDescent="0.2">
      <c r="A5" s="31"/>
      <c r="B5" s="10" t="s">
        <v>56</v>
      </c>
      <c r="C5" s="30" t="s">
        <v>57</v>
      </c>
      <c r="D5" s="15" t="s">
        <v>58</v>
      </c>
      <c r="E5" s="15" t="s">
        <v>59</v>
      </c>
      <c r="F5" s="15" t="s">
        <v>60</v>
      </c>
      <c r="G5" s="15"/>
      <c r="H5" s="15" t="s">
        <v>61</v>
      </c>
      <c r="I5" s="10" t="s">
        <v>62</v>
      </c>
      <c r="J5" s="10" t="s">
        <v>63</v>
      </c>
      <c r="K5" s="15"/>
      <c r="L5" s="15" t="s">
        <v>64</v>
      </c>
      <c r="M5" s="15" t="s">
        <v>65</v>
      </c>
      <c r="N5" s="15"/>
      <c r="O5" s="10"/>
      <c r="P5" s="10" t="s">
        <v>66</v>
      </c>
      <c r="Q5" s="10" t="s">
        <v>67</v>
      </c>
      <c r="R5" s="10" t="s">
        <v>68</v>
      </c>
      <c r="S5" s="10" t="s">
        <v>69</v>
      </c>
      <c r="T5" s="10" t="s">
        <v>70</v>
      </c>
    </row>
    <row r="6" spans="1:20" s="21" customFormat="1" x14ac:dyDescent="0.2">
      <c r="A6" s="31"/>
      <c r="B6" s="10" t="s">
        <v>71</v>
      </c>
      <c r="C6" s="30" t="s">
        <v>72</v>
      </c>
      <c r="D6" s="15" t="s">
        <v>73</v>
      </c>
      <c r="E6" s="15" t="s">
        <v>59</v>
      </c>
      <c r="F6" s="15" t="s">
        <v>74</v>
      </c>
      <c r="G6" s="15"/>
      <c r="H6" s="15" t="s">
        <v>61</v>
      </c>
      <c r="I6" s="10" t="s">
        <v>62</v>
      </c>
      <c r="J6" s="10" t="s">
        <v>63</v>
      </c>
      <c r="K6" s="15"/>
      <c r="L6" s="15" t="s">
        <v>75</v>
      </c>
      <c r="M6" s="15" t="s">
        <v>76</v>
      </c>
      <c r="N6" s="15"/>
      <c r="O6" s="10"/>
      <c r="P6" s="10" t="s">
        <v>66</v>
      </c>
      <c r="Q6" s="10" t="s">
        <v>67</v>
      </c>
      <c r="R6" s="10" t="s">
        <v>77</v>
      </c>
      <c r="S6" s="10" t="s">
        <v>69</v>
      </c>
      <c r="T6" s="10" t="s">
        <v>70</v>
      </c>
    </row>
    <row r="7" spans="1:20" s="21" customFormat="1" x14ac:dyDescent="0.2">
      <c r="A7" s="31"/>
      <c r="B7" s="10" t="s">
        <v>78</v>
      </c>
      <c r="C7" s="30" t="s">
        <v>79</v>
      </c>
      <c r="D7" s="15" t="s">
        <v>80</v>
      </c>
      <c r="E7" s="15" t="s">
        <v>59</v>
      </c>
      <c r="F7" s="15" t="s">
        <v>81</v>
      </c>
      <c r="G7" s="15"/>
      <c r="H7" s="15" t="s">
        <v>61</v>
      </c>
      <c r="I7" s="10" t="s">
        <v>62</v>
      </c>
      <c r="J7" s="10" t="s">
        <v>63</v>
      </c>
      <c r="K7" s="15"/>
      <c r="L7" s="15" t="s">
        <v>82</v>
      </c>
      <c r="M7" s="15" t="s">
        <v>83</v>
      </c>
      <c r="N7" s="15"/>
      <c r="O7" s="10"/>
      <c r="P7" s="10" t="s">
        <v>66</v>
      </c>
      <c r="Q7" s="10" t="s">
        <v>67</v>
      </c>
      <c r="R7" s="10" t="s">
        <v>68</v>
      </c>
      <c r="S7" s="10" t="s">
        <v>69</v>
      </c>
      <c r="T7" s="10" t="s">
        <v>70</v>
      </c>
    </row>
    <row r="8" spans="1:20" s="21" customFormat="1" x14ac:dyDescent="0.2">
      <c r="A8" s="31"/>
      <c r="B8" s="10" t="s">
        <v>84</v>
      </c>
      <c r="C8" s="30" t="s">
        <v>85</v>
      </c>
      <c r="D8" s="15" t="s">
        <v>86</v>
      </c>
      <c r="E8" s="15" t="s">
        <v>59</v>
      </c>
      <c r="F8" s="15" t="s">
        <v>87</v>
      </c>
      <c r="G8" s="15"/>
      <c r="H8" s="15" t="s">
        <v>61</v>
      </c>
      <c r="I8" s="10" t="s">
        <v>62</v>
      </c>
      <c r="J8" s="10" t="s">
        <v>63</v>
      </c>
      <c r="K8" s="15"/>
      <c r="L8" s="15" t="s">
        <v>82</v>
      </c>
      <c r="M8" s="15" t="s">
        <v>83</v>
      </c>
      <c r="N8" s="15"/>
      <c r="O8" s="10"/>
      <c r="P8" s="10" t="s">
        <v>66</v>
      </c>
      <c r="Q8" s="10" t="s">
        <v>67</v>
      </c>
      <c r="R8" s="10" t="s">
        <v>88</v>
      </c>
      <c r="S8" s="10" t="s">
        <v>69</v>
      </c>
      <c r="T8" s="10" t="s">
        <v>70</v>
      </c>
    </row>
    <row r="9" spans="1:20" s="21" customFormat="1" x14ac:dyDescent="0.2">
      <c r="A9" s="31"/>
      <c r="B9" s="10" t="s">
        <v>89</v>
      </c>
      <c r="C9" s="30" t="s">
        <v>90</v>
      </c>
      <c r="D9" s="15" t="s">
        <v>91</v>
      </c>
      <c r="E9" s="15" t="s">
        <v>59</v>
      </c>
      <c r="F9" s="15" t="s">
        <v>92</v>
      </c>
      <c r="G9" s="15"/>
      <c r="H9" s="15" t="s">
        <v>61</v>
      </c>
      <c r="I9" s="10" t="s">
        <v>62</v>
      </c>
      <c r="J9" s="10" t="s">
        <v>63</v>
      </c>
      <c r="K9" s="15"/>
      <c r="L9" s="15" t="s">
        <v>64</v>
      </c>
      <c r="M9" s="15" t="s">
        <v>65</v>
      </c>
      <c r="N9" s="15"/>
      <c r="O9" s="10"/>
      <c r="P9" s="10" t="s">
        <v>66</v>
      </c>
      <c r="Q9" s="10" t="s">
        <v>93</v>
      </c>
      <c r="R9" s="10" t="s">
        <v>77</v>
      </c>
      <c r="S9" s="10" t="s">
        <v>69</v>
      </c>
      <c r="T9" s="10" t="s">
        <v>70</v>
      </c>
    </row>
    <row r="10" spans="1:20" s="21" customFormat="1" x14ac:dyDescent="0.2">
      <c r="A10" s="31"/>
      <c r="B10" s="10" t="s">
        <v>94</v>
      </c>
      <c r="C10" s="30" t="s">
        <v>95</v>
      </c>
      <c r="D10" s="15" t="s">
        <v>96</v>
      </c>
      <c r="E10" s="15" t="s">
        <v>59</v>
      </c>
      <c r="F10" s="15" t="s">
        <v>97</v>
      </c>
      <c r="G10" s="15"/>
      <c r="H10" s="15" t="s">
        <v>61</v>
      </c>
      <c r="I10" s="10" t="s">
        <v>62</v>
      </c>
      <c r="J10" s="10" t="s">
        <v>63</v>
      </c>
      <c r="K10" s="15"/>
      <c r="L10" s="15" t="s">
        <v>64</v>
      </c>
      <c r="M10" s="15" t="s">
        <v>65</v>
      </c>
      <c r="N10" s="15"/>
      <c r="O10" s="10"/>
      <c r="P10" s="10" t="s">
        <v>66</v>
      </c>
      <c r="Q10" s="10" t="s">
        <v>67</v>
      </c>
      <c r="R10" s="10" t="s">
        <v>68</v>
      </c>
      <c r="S10" s="10" t="s">
        <v>69</v>
      </c>
      <c r="T10" s="10" t="s">
        <v>70</v>
      </c>
    </row>
    <row r="11" spans="1:20" s="21" customFormat="1" x14ac:dyDescent="0.2">
      <c r="A11" s="31"/>
      <c r="B11" s="10" t="s">
        <v>98</v>
      </c>
      <c r="C11" s="30" t="s">
        <v>99</v>
      </c>
      <c r="D11" s="15" t="s">
        <v>100</v>
      </c>
      <c r="E11" s="15" t="s">
        <v>101</v>
      </c>
      <c r="F11" s="15" t="s">
        <v>102</v>
      </c>
      <c r="G11" s="15" t="s">
        <v>103</v>
      </c>
      <c r="H11" s="15" t="s">
        <v>61</v>
      </c>
      <c r="I11" s="10" t="s">
        <v>62</v>
      </c>
      <c r="J11" s="10" t="s">
        <v>63</v>
      </c>
      <c r="K11" s="15"/>
      <c r="L11" s="15" t="s">
        <v>75</v>
      </c>
      <c r="M11" s="15" t="s">
        <v>76</v>
      </c>
      <c r="N11" s="15" t="s">
        <v>104</v>
      </c>
      <c r="O11" s="10" t="s">
        <v>105</v>
      </c>
      <c r="P11" s="10" t="s">
        <v>66</v>
      </c>
      <c r="Q11" s="10" t="s">
        <v>106</v>
      </c>
      <c r="R11" s="10" t="s">
        <v>68</v>
      </c>
      <c r="S11" s="10" t="s">
        <v>69</v>
      </c>
      <c r="T11" s="10" t="s">
        <v>70</v>
      </c>
    </row>
    <row r="12" spans="1:20" s="21" customFormat="1" x14ac:dyDescent="0.2">
      <c r="A12" s="31"/>
      <c r="B12" s="10" t="s">
        <v>107</v>
      </c>
      <c r="C12" s="30" t="s">
        <v>108</v>
      </c>
      <c r="D12" s="15" t="s">
        <v>109</v>
      </c>
      <c r="E12" s="15" t="s">
        <v>110</v>
      </c>
      <c r="F12" s="15" t="s">
        <v>111</v>
      </c>
      <c r="G12" s="15" t="s">
        <v>103</v>
      </c>
      <c r="H12" s="15" t="s">
        <v>61</v>
      </c>
      <c r="I12" s="10" t="s">
        <v>62</v>
      </c>
      <c r="J12" s="10" t="s">
        <v>63</v>
      </c>
      <c r="K12" s="15" t="s">
        <v>112</v>
      </c>
      <c r="L12" s="15" t="s">
        <v>82</v>
      </c>
      <c r="M12" s="15" t="s">
        <v>83</v>
      </c>
      <c r="N12" s="15" t="s">
        <v>113</v>
      </c>
      <c r="O12" s="10" t="s">
        <v>105</v>
      </c>
      <c r="P12" s="10" t="s">
        <v>66</v>
      </c>
      <c r="Q12" s="10" t="s">
        <v>67</v>
      </c>
      <c r="R12" s="10" t="s">
        <v>68</v>
      </c>
      <c r="S12" s="10" t="s">
        <v>69</v>
      </c>
      <c r="T12" s="10" t="s">
        <v>70</v>
      </c>
    </row>
    <row r="13" spans="1:20" s="21" customFormat="1" x14ac:dyDescent="0.2">
      <c r="A13" s="31"/>
      <c r="B13" s="10" t="s">
        <v>114</v>
      </c>
      <c r="C13" s="30" t="s">
        <v>115</v>
      </c>
      <c r="D13" s="15" t="s">
        <v>116</v>
      </c>
      <c r="E13" s="15" t="s">
        <v>110</v>
      </c>
      <c r="F13" s="15" t="s">
        <v>117</v>
      </c>
      <c r="G13" s="15" t="s">
        <v>103</v>
      </c>
      <c r="H13" s="15" t="s">
        <v>61</v>
      </c>
      <c r="I13" s="10" t="s">
        <v>62</v>
      </c>
      <c r="J13" s="10" t="s">
        <v>63</v>
      </c>
      <c r="K13" s="15" t="s">
        <v>118</v>
      </c>
      <c r="L13" s="15" t="s">
        <v>82</v>
      </c>
      <c r="M13" s="15" t="s">
        <v>83</v>
      </c>
      <c r="N13" s="15" t="s">
        <v>119</v>
      </c>
      <c r="O13" s="10" t="s">
        <v>105</v>
      </c>
      <c r="P13" s="10" t="s">
        <v>66</v>
      </c>
      <c r="Q13" s="10" t="s">
        <v>67</v>
      </c>
      <c r="R13" s="10" t="s">
        <v>68</v>
      </c>
      <c r="S13" s="10" t="s">
        <v>69</v>
      </c>
      <c r="T13" s="10" t="s">
        <v>70</v>
      </c>
    </row>
    <row r="14" spans="1:20" s="21" customFormat="1" x14ac:dyDescent="0.2">
      <c r="A14" s="31"/>
      <c r="B14" s="10" t="s">
        <v>120</v>
      </c>
      <c r="C14" s="30" t="s">
        <v>121</v>
      </c>
      <c r="D14" s="15" t="s">
        <v>122</v>
      </c>
      <c r="E14" s="15" t="s">
        <v>123</v>
      </c>
      <c r="F14" s="15" t="s">
        <v>117</v>
      </c>
      <c r="G14" s="15"/>
      <c r="H14" s="15" t="s">
        <v>61</v>
      </c>
      <c r="I14" s="10" t="s">
        <v>62</v>
      </c>
      <c r="J14" s="10" t="s">
        <v>63</v>
      </c>
      <c r="K14" s="15" t="s">
        <v>118</v>
      </c>
      <c r="L14" s="15" t="s">
        <v>82</v>
      </c>
      <c r="M14" s="15" t="s">
        <v>83</v>
      </c>
      <c r="N14" s="15" t="s">
        <v>124</v>
      </c>
      <c r="O14" s="10" t="s">
        <v>105</v>
      </c>
      <c r="P14" s="10" t="s">
        <v>66</v>
      </c>
      <c r="Q14" s="10" t="s">
        <v>67</v>
      </c>
      <c r="R14" s="10" t="s">
        <v>68</v>
      </c>
      <c r="S14" s="10" t="s">
        <v>69</v>
      </c>
      <c r="T14" s="10" t="s">
        <v>70</v>
      </c>
    </row>
    <row r="15" spans="1:20" s="21" customFormat="1" x14ac:dyDescent="0.2">
      <c r="A15" s="31"/>
      <c r="B15" s="10" t="s">
        <v>125</v>
      </c>
      <c r="C15" s="30" t="s">
        <v>126</v>
      </c>
      <c r="D15" s="15" t="s">
        <v>127</v>
      </c>
      <c r="E15" s="15" t="s">
        <v>110</v>
      </c>
      <c r="F15" s="15" t="s">
        <v>117</v>
      </c>
      <c r="G15" s="15" t="s">
        <v>103</v>
      </c>
      <c r="H15" s="15" t="s">
        <v>61</v>
      </c>
      <c r="I15" s="10" t="s">
        <v>62</v>
      </c>
      <c r="J15" s="10" t="s">
        <v>63</v>
      </c>
      <c r="K15" s="15" t="s">
        <v>128</v>
      </c>
      <c r="L15" s="15" t="s">
        <v>75</v>
      </c>
      <c r="M15" s="15" t="s">
        <v>76</v>
      </c>
      <c r="N15" s="15" t="s">
        <v>129</v>
      </c>
      <c r="O15" s="10" t="s">
        <v>105</v>
      </c>
      <c r="P15" s="10" t="s">
        <v>66</v>
      </c>
      <c r="Q15" s="10" t="s">
        <v>130</v>
      </c>
      <c r="R15" s="10" t="s">
        <v>68</v>
      </c>
      <c r="S15" s="10" t="s">
        <v>69</v>
      </c>
      <c r="T15" s="10" t="s">
        <v>70</v>
      </c>
    </row>
    <row r="16" spans="1:20" s="21" customFormat="1" x14ac:dyDescent="0.2">
      <c r="A16" s="31"/>
      <c r="B16" s="10" t="s">
        <v>131</v>
      </c>
      <c r="C16" s="30" t="s">
        <v>132</v>
      </c>
      <c r="D16" s="15" t="s">
        <v>133</v>
      </c>
      <c r="E16" s="15" t="s">
        <v>101</v>
      </c>
      <c r="F16" s="15" t="s">
        <v>117</v>
      </c>
      <c r="G16" s="15" t="s">
        <v>103</v>
      </c>
      <c r="H16" s="15" t="s">
        <v>61</v>
      </c>
      <c r="I16" s="10" t="s">
        <v>62</v>
      </c>
      <c r="J16" s="10" t="s">
        <v>63</v>
      </c>
      <c r="K16" s="15"/>
      <c r="L16" s="15" t="s">
        <v>64</v>
      </c>
      <c r="M16" s="15" t="s">
        <v>65</v>
      </c>
      <c r="N16" s="15" t="s">
        <v>134</v>
      </c>
      <c r="O16" s="10" t="s">
        <v>105</v>
      </c>
      <c r="P16" s="10" t="s">
        <v>66</v>
      </c>
      <c r="Q16" s="10" t="s">
        <v>67</v>
      </c>
      <c r="R16" s="10" t="s">
        <v>68</v>
      </c>
      <c r="S16" s="10" t="s">
        <v>69</v>
      </c>
      <c r="T16" s="10" t="s">
        <v>70</v>
      </c>
    </row>
    <row r="17" spans="1:20" s="21" customFormat="1" x14ac:dyDescent="0.2">
      <c r="A17" s="31"/>
      <c r="B17" s="10" t="s">
        <v>135</v>
      </c>
      <c r="C17" s="30" t="s">
        <v>136</v>
      </c>
      <c r="D17" s="15" t="s">
        <v>137</v>
      </c>
      <c r="E17" s="15" t="s">
        <v>101</v>
      </c>
      <c r="F17" s="15" t="s">
        <v>117</v>
      </c>
      <c r="G17" s="15" t="s">
        <v>103</v>
      </c>
      <c r="H17" s="15" t="s">
        <v>61</v>
      </c>
      <c r="I17" s="10" t="s">
        <v>62</v>
      </c>
      <c r="J17" s="10" t="s">
        <v>63</v>
      </c>
      <c r="K17" s="15"/>
      <c r="L17" s="15" t="s">
        <v>64</v>
      </c>
      <c r="M17" s="15" t="s">
        <v>65</v>
      </c>
      <c r="N17" s="15" t="s">
        <v>138</v>
      </c>
      <c r="O17" s="10" t="s">
        <v>105</v>
      </c>
      <c r="P17" s="10" t="s">
        <v>66</v>
      </c>
      <c r="Q17" s="10" t="s">
        <v>67</v>
      </c>
      <c r="R17" s="10" t="s">
        <v>68</v>
      </c>
      <c r="S17" s="10" t="s">
        <v>69</v>
      </c>
      <c r="T17" s="10" t="s">
        <v>70</v>
      </c>
    </row>
  </sheetData>
  <mergeCells count="1">
    <mergeCell ref="B2:E2"/>
  </mergeCells>
  <printOptions horizontalCentered="1"/>
  <pageMargins left="0.19685039370078741" right="0.19685039370078741" top="0.39370078740157483" bottom="0.39370078740157483" header="0.19685039370078741" footer="0.19685039370078741"/>
  <pageSetup scale="36" orientation="landscape"/>
  <ignoredErrors>
    <ignoredError sqref="B5:B17 I5:I17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9998168889431442"/>
    <pageSetUpPr fitToPage="1"/>
  </sheetPr>
  <dimension ref="A1:R25"/>
  <sheetViews>
    <sheetView showGridLines="0" zoomScale="80" zoomScaleNormal="80" workbookViewId="0">
      <selection activeCell="B1" sqref="B1"/>
    </sheetView>
  </sheetViews>
  <sheetFormatPr defaultRowHeight="14.25" x14ac:dyDescent="0.2"/>
  <cols>
    <col min="1" max="1" width="1.7109375" style="31" customWidth="1"/>
    <col min="2" max="2" width="33.5703125" style="25" customWidth="1"/>
    <col min="3" max="3" width="28.42578125" style="25" customWidth="1"/>
    <col min="4" max="4" width="38" style="25" customWidth="1"/>
    <col min="5" max="5" width="39.140625" style="25" customWidth="1"/>
    <col min="6" max="6" width="16.5703125" style="32" customWidth="1"/>
    <col min="7" max="7" width="22" style="32" customWidth="1"/>
    <col min="8" max="8" width="16" style="32" customWidth="1"/>
    <col min="9" max="9" width="12" style="32" customWidth="1"/>
    <col min="10" max="10" width="41" style="25" customWidth="1"/>
    <col min="11" max="11" width="14.5703125" style="25" bestFit="1" customWidth="1"/>
    <col min="12" max="12" width="16" style="32" customWidth="1"/>
    <col min="13" max="13" width="14" style="40" customWidth="1"/>
    <col min="14" max="14" width="18" style="40" customWidth="1"/>
    <col min="15" max="15" width="12" style="40" customWidth="1"/>
    <col min="16" max="16" width="14" style="20" customWidth="1"/>
    <col min="17" max="17" width="26.7109375" style="20" customWidth="1"/>
    <col min="18" max="18" width="11.42578125" style="40" customWidth="1"/>
    <col min="19" max="19" width="9.140625" style="19" customWidth="1"/>
    <col min="20" max="16384" width="9.140625" style="19"/>
  </cols>
  <sheetData>
    <row r="1" spans="1:18" ht="23.25" customHeight="1" x14ac:dyDescent="0.2">
      <c r="A1" s="6" t="s">
        <v>139</v>
      </c>
      <c r="B1" s="33"/>
      <c r="C1" s="33"/>
      <c r="D1" s="33"/>
      <c r="E1" s="33"/>
      <c r="F1" s="33"/>
      <c r="G1" s="33"/>
      <c r="H1" s="33"/>
      <c r="I1" s="33"/>
      <c r="J1" s="34"/>
      <c r="K1" s="34"/>
      <c r="L1" s="43"/>
    </row>
    <row r="2" spans="1:18" ht="15" customHeight="1" x14ac:dyDescent="0.2">
      <c r="A2" s="35"/>
      <c r="B2" s="7" t="s">
        <v>140</v>
      </c>
      <c r="C2" s="35"/>
      <c r="D2" s="35"/>
      <c r="E2" s="35"/>
      <c r="F2" s="35"/>
      <c r="G2" s="35"/>
      <c r="H2" s="35"/>
      <c r="I2" s="35"/>
      <c r="J2" s="36"/>
      <c r="K2" s="36"/>
      <c r="L2" s="44"/>
    </row>
    <row r="4" spans="1:18" ht="32.1" customHeight="1" x14ac:dyDescent="0.2">
      <c r="B4" s="14" t="s">
        <v>141</v>
      </c>
      <c r="C4" s="29" t="s">
        <v>142</v>
      </c>
      <c r="D4" s="14" t="s">
        <v>46</v>
      </c>
      <c r="E4" s="14" t="s">
        <v>143</v>
      </c>
      <c r="F4" s="1" t="s">
        <v>144</v>
      </c>
      <c r="G4" s="1" t="s">
        <v>145</v>
      </c>
      <c r="H4" s="1" t="s">
        <v>146</v>
      </c>
      <c r="I4" s="1" t="s">
        <v>147</v>
      </c>
      <c r="J4" s="14" t="s">
        <v>148</v>
      </c>
      <c r="K4" s="14" t="s">
        <v>149</v>
      </c>
      <c r="L4" s="1" t="s">
        <v>150</v>
      </c>
      <c r="M4" s="37" t="s">
        <v>151</v>
      </c>
      <c r="N4" s="37" t="s">
        <v>152</v>
      </c>
      <c r="O4" s="37" t="s">
        <v>153</v>
      </c>
      <c r="P4" s="18" t="s">
        <v>154</v>
      </c>
      <c r="Q4" s="18" t="s">
        <v>155</v>
      </c>
      <c r="R4" s="37" t="s">
        <v>156</v>
      </c>
    </row>
    <row r="5" spans="1:18" x14ac:dyDescent="0.2">
      <c r="B5" s="15" t="s">
        <v>157</v>
      </c>
      <c r="C5" s="30" t="s">
        <v>158</v>
      </c>
      <c r="D5" s="15" t="s">
        <v>159</v>
      </c>
      <c r="E5" s="15" t="s">
        <v>160</v>
      </c>
      <c r="F5" s="10" t="s">
        <v>161</v>
      </c>
      <c r="G5" s="10" t="s">
        <v>162</v>
      </c>
      <c r="H5" s="10" t="s">
        <v>162</v>
      </c>
      <c r="I5" s="10" t="s">
        <v>162</v>
      </c>
      <c r="J5" s="15" t="s">
        <v>163</v>
      </c>
      <c r="K5" s="15" t="s">
        <v>164</v>
      </c>
      <c r="L5" s="10" t="s">
        <v>70</v>
      </c>
      <c r="M5" s="53" t="s">
        <v>70</v>
      </c>
      <c r="N5" s="53" t="s">
        <v>69</v>
      </c>
      <c r="O5" s="53" t="s">
        <v>70</v>
      </c>
      <c r="P5" s="54" t="s">
        <v>165</v>
      </c>
      <c r="Q5" s="54" t="s">
        <v>166</v>
      </c>
      <c r="R5" s="53" t="s">
        <v>66</v>
      </c>
    </row>
    <row r="6" spans="1:18" x14ac:dyDescent="0.2">
      <c r="B6" s="15" t="s">
        <v>167</v>
      </c>
      <c r="C6" s="30" t="s">
        <v>158</v>
      </c>
      <c r="D6" s="15" t="s">
        <v>168</v>
      </c>
      <c r="E6" s="15" t="s">
        <v>169</v>
      </c>
      <c r="F6" s="10" t="s">
        <v>161</v>
      </c>
      <c r="G6" s="10" t="s">
        <v>162</v>
      </c>
      <c r="H6" s="10" t="s">
        <v>162</v>
      </c>
      <c r="I6" s="10" t="s">
        <v>162</v>
      </c>
      <c r="J6" s="15" t="s">
        <v>170</v>
      </c>
      <c r="K6" s="15" t="s">
        <v>164</v>
      </c>
      <c r="L6" s="10" t="s">
        <v>70</v>
      </c>
      <c r="M6" s="53" t="s">
        <v>70</v>
      </c>
      <c r="N6" s="53" t="s">
        <v>171</v>
      </c>
      <c r="O6" s="53" t="s">
        <v>70</v>
      </c>
      <c r="P6" s="54" t="s">
        <v>165</v>
      </c>
      <c r="Q6" s="54" t="s">
        <v>166</v>
      </c>
      <c r="R6" s="53" t="s">
        <v>66</v>
      </c>
    </row>
    <row r="7" spans="1:18" x14ac:dyDescent="0.2">
      <c r="B7" s="15" t="s">
        <v>172</v>
      </c>
      <c r="C7" s="30" t="s">
        <v>158</v>
      </c>
      <c r="D7" s="15" t="s">
        <v>173</v>
      </c>
      <c r="E7" s="15" t="s">
        <v>174</v>
      </c>
      <c r="F7" s="10" t="s">
        <v>161</v>
      </c>
      <c r="G7" s="10" t="s">
        <v>175</v>
      </c>
      <c r="H7" s="10" t="s">
        <v>162</v>
      </c>
      <c r="I7" s="10" t="s">
        <v>162</v>
      </c>
      <c r="J7" s="15" t="s">
        <v>176</v>
      </c>
      <c r="K7" s="15" t="s">
        <v>164</v>
      </c>
      <c r="L7" s="10" t="s">
        <v>70</v>
      </c>
      <c r="M7" s="53" t="s">
        <v>70</v>
      </c>
      <c r="N7" s="53" t="s">
        <v>69</v>
      </c>
      <c r="O7" s="53" t="s">
        <v>69</v>
      </c>
      <c r="P7" s="54" t="s">
        <v>165</v>
      </c>
      <c r="Q7" s="54" t="s">
        <v>166</v>
      </c>
      <c r="R7" s="53" t="s">
        <v>66</v>
      </c>
    </row>
    <row r="8" spans="1:18" x14ac:dyDescent="0.2">
      <c r="B8" s="15" t="s">
        <v>177</v>
      </c>
      <c r="C8" s="30" t="s">
        <v>158</v>
      </c>
      <c r="D8" s="15" t="s">
        <v>173</v>
      </c>
      <c r="E8" s="15" t="s">
        <v>178</v>
      </c>
      <c r="F8" s="10" t="s">
        <v>161</v>
      </c>
      <c r="G8" s="10" t="s">
        <v>162</v>
      </c>
      <c r="H8" s="10" t="s">
        <v>162</v>
      </c>
      <c r="I8" s="10" t="s">
        <v>162</v>
      </c>
      <c r="J8" s="15" t="s">
        <v>179</v>
      </c>
      <c r="K8" s="15" t="s">
        <v>164</v>
      </c>
      <c r="L8" s="10" t="s">
        <v>70</v>
      </c>
      <c r="M8" s="53" t="s">
        <v>70</v>
      </c>
      <c r="N8" s="53" t="s">
        <v>69</v>
      </c>
      <c r="O8" s="53" t="s">
        <v>69</v>
      </c>
      <c r="P8" s="54" t="s">
        <v>165</v>
      </c>
      <c r="Q8" s="54" t="s">
        <v>166</v>
      </c>
      <c r="R8" s="53" t="s">
        <v>66</v>
      </c>
    </row>
    <row r="9" spans="1:18" x14ac:dyDescent="0.2">
      <c r="B9" s="15" t="s">
        <v>180</v>
      </c>
      <c r="C9" s="30" t="s">
        <v>158</v>
      </c>
      <c r="D9" s="15" t="s">
        <v>168</v>
      </c>
      <c r="E9" s="15" t="s">
        <v>181</v>
      </c>
      <c r="F9" s="10" t="s">
        <v>161</v>
      </c>
      <c r="G9" s="10" t="s">
        <v>162</v>
      </c>
      <c r="H9" s="10" t="s">
        <v>162</v>
      </c>
      <c r="I9" s="10" t="s">
        <v>162</v>
      </c>
      <c r="J9" s="15" t="s">
        <v>182</v>
      </c>
      <c r="K9" s="15" t="s">
        <v>183</v>
      </c>
      <c r="L9" s="10" t="s">
        <v>70</v>
      </c>
      <c r="M9" s="53" t="s">
        <v>70</v>
      </c>
      <c r="N9" s="53" t="s">
        <v>184</v>
      </c>
      <c r="O9" s="53" t="s">
        <v>70</v>
      </c>
      <c r="P9" s="54" t="s">
        <v>165</v>
      </c>
      <c r="Q9" s="54" t="s">
        <v>166</v>
      </c>
      <c r="R9" s="53" t="s">
        <v>66</v>
      </c>
    </row>
    <row r="10" spans="1:18" x14ac:dyDescent="0.2">
      <c r="B10" s="15" t="s">
        <v>185</v>
      </c>
      <c r="C10" s="30" t="s">
        <v>158</v>
      </c>
      <c r="D10" s="15" t="s">
        <v>159</v>
      </c>
      <c r="E10" s="15" t="s">
        <v>186</v>
      </c>
      <c r="F10" s="10" t="s">
        <v>161</v>
      </c>
      <c r="G10" s="10" t="s">
        <v>162</v>
      </c>
      <c r="H10" s="10" t="s">
        <v>162</v>
      </c>
      <c r="I10" s="10" t="s">
        <v>162</v>
      </c>
      <c r="J10" s="15" t="s">
        <v>187</v>
      </c>
      <c r="K10" s="15" t="s">
        <v>188</v>
      </c>
      <c r="L10" s="10" t="s">
        <v>70</v>
      </c>
      <c r="M10" s="53" t="s">
        <v>70</v>
      </c>
      <c r="N10" s="53" t="s">
        <v>69</v>
      </c>
      <c r="O10" s="53" t="s">
        <v>69</v>
      </c>
      <c r="P10" s="54" t="s">
        <v>165</v>
      </c>
      <c r="Q10" s="54" t="s">
        <v>166</v>
      </c>
      <c r="R10" s="53" t="s">
        <v>66</v>
      </c>
    </row>
    <row r="11" spans="1:18" x14ac:dyDescent="0.2">
      <c r="B11" s="15" t="s">
        <v>189</v>
      </c>
      <c r="C11" s="30" t="s">
        <v>158</v>
      </c>
      <c r="D11" s="15" t="s">
        <v>190</v>
      </c>
      <c r="E11" s="15" t="s">
        <v>191</v>
      </c>
      <c r="F11" s="10" t="s">
        <v>161</v>
      </c>
      <c r="G11" s="10" t="s">
        <v>175</v>
      </c>
      <c r="H11" s="10" t="s">
        <v>162</v>
      </c>
      <c r="I11" s="10" t="s">
        <v>162</v>
      </c>
      <c r="J11" s="15" t="s">
        <v>192</v>
      </c>
      <c r="K11" s="15" t="s">
        <v>193</v>
      </c>
      <c r="L11" s="10" t="s">
        <v>70</v>
      </c>
      <c r="M11" s="53" t="s">
        <v>70</v>
      </c>
      <c r="N11" s="53" t="s">
        <v>69</v>
      </c>
      <c r="O11" s="53" t="s">
        <v>69</v>
      </c>
      <c r="P11" s="54" t="s">
        <v>165</v>
      </c>
      <c r="Q11" s="54" t="s">
        <v>166</v>
      </c>
      <c r="R11" s="53" t="s">
        <v>66</v>
      </c>
    </row>
    <row r="12" spans="1:18" x14ac:dyDescent="0.2">
      <c r="B12" s="15" t="s">
        <v>194</v>
      </c>
      <c r="C12" s="30" t="s">
        <v>158</v>
      </c>
      <c r="D12" s="15" t="s">
        <v>173</v>
      </c>
      <c r="E12" s="15" t="s">
        <v>195</v>
      </c>
      <c r="F12" s="10" t="s">
        <v>161</v>
      </c>
      <c r="G12" s="10" t="s">
        <v>175</v>
      </c>
      <c r="H12" s="10" t="s">
        <v>162</v>
      </c>
      <c r="I12" s="10" t="s">
        <v>162</v>
      </c>
      <c r="J12" s="15" t="s">
        <v>196</v>
      </c>
      <c r="K12" s="15" t="s">
        <v>197</v>
      </c>
      <c r="L12" s="10" t="s">
        <v>70</v>
      </c>
      <c r="M12" s="53" t="s">
        <v>70</v>
      </c>
      <c r="N12" s="53" t="s">
        <v>69</v>
      </c>
      <c r="O12" s="53" t="s">
        <v>69</v>
      </c>
      <c r="P12" s="54" t="s">
        <v>165</v>
      </c>
      <c r="Q12" s="54" t="s">
        <v>166</v>
      </c>
      <c r="R12" s="53" t="s">
        <v>66</v>
      </c>
    </row>
    <row r="13" spans="1:18" x14ac:dyDescent="0.2">
      <c r="B13" s="15" t="s">
        <v>198</v>
      </c>
      <c r="C13" s="30" t="s">
        <v>158</v>
      </c>
      <c r="D13" s="15" t="s">
        <v>173</v>
      </c>
      <c r="E13" s="15" t="s">
        <v>199</v>
      </c>
      <c r="F13" s="10" t="s">
        <v>161</v>
      </c>
      <c r="G13" s="10" t="s">
        <v>162</v>
      </c>
      <c r="H13" s="10" t="s">
        <v>162</v>
      </c>
      <c r="I13" s="10" t="s">
        <v>162</v>
      </c>
      <c r="J13" s="15" t="s">
        <v>200</v>
      </c>
      <c r="K13" s="15" t="s">
        <v>197</v>
      </c>
      <c r="L13" s="10" t="s">
        <v>70</v>
      </c>
      <c r="M13" s="53" t="s">
        <v>70</v>
      </c>
      <c r="N13" s="53" t="s">
        <v>69</v>
      </c>
      <c r="O13" s="53" t="s">
        <v>69</v>
      </c>
      <c r="P13" s="54" t="s">
        <v>165</v>
      </c>
      <c r="Q13" s="54" t="s">
        <v>166</v>
      </c>
      <c r="R13" s="53" t="s">
        <v>66</v>
      </c>
    </row>
    <row r="14" spans="1:18" x14ac:dyDescent="0.2">
      <c r="B14" s="15" t="s">
        <v>201</v>
      </c>
      <c r="C14" s="30" t="s">
        <v>158</v>
      </c>
      <c r="D14" s="15" t="s">
        <v>202</v>
      </c>
      <c r="E14" s="15" t="s">
        <v>203</v>
      </c>
      <c r="F14" s="10" t="s">
        <v>161</v>
      </c>
      <c r="G14" s="10" t="s">
        <v>162</v>
      </c>
      <c r="H14" s="10" t="s">
        <v>162</v>
      </c>
      <c r="I14" s="10" t="s">
        <v>162</v>
      </c>
      <c r="J14" s="15" t="s">
        <v>204</v>
      </c>
      <c r="K14" s="15" t="s">
        <v>197</v>
      </c>
      <c r="L14" s="10" t="s">
        <v>70</v>
      </c>
      <c r="M14" s="53" t="s">
        <v>70</v>
      </c>
      <c r="N14" s="53" t="s">
        <v>69</v>
      </c>
      <c r="O14" s="53" t="s">
        <v>69</v>
      </c>
      <c r="P14" s="54" t="s">
        <v>165</v>
      </c>
      <c r="Q14" s="54" t="s">
        <v>166</v>
      </c>
      <c r="R14" s="53" t="s">
        <v>66</v>
      </c>
    </row>
    <row r="15" spans="1:18" x14ac:dyDescent="0.2">
      <c r="B15" s="15" t="s">
        <v>205</v>
      </c>
      <c r="C15" s="30" t="s">
        <v>206</v>
      </c>
      <c r="D15" s="15" t="s">
        <v>159</v>
      </c>
      <c r="E15" s="15" t="s">
        <v>160</v>
      </c>
      <c r="F15" s="10" t="s">
        <v>161</v>
      </c>
      <c r="G15" s="10" t="s">
        <v>162</v>
      </c>
      <c r="H15" s="10" t="s">
        <v>162</v>
      </c>
      <c r="I15" s="10" t="s">
        <v>162</v>
      </c>
      <c r="J15" s="15" t="s">
        <v>207</v>
      </c>
      <c r="K15" s="15" t="s">
        <v>164</v>
      </c>
      <c r="L15" s="10" t="s">
        <v>70</v>
      </c>
      <c r="M15" s="53" t="s">
        <v>70</v>
      </c>
      <c r="N15" s="53" t="s">
        <v>69</v>
      </c>
      <c r="O15" s="53" t="s">
        <v>70</v>
      </c>
      <c r="P15" s="54" t="s">
        <v>208</v>
      </c>
      <c r="Q15" s="54" t="s">
        <v>166</v>
      </c>
      <c r="R15" s="53" t="s">
        <v>209</v>
      </c>
    </row>
    <row r="16" spans="1:18" x14ac:dyDescent="0.2">
      <c r="B16" s="15" t="s">
        <v>210</v>
      </c>
      <c r="C16" s="30" t="s">
        <v>206</v>
      </c>
      <c r="D16" s="15" t="s">
        <v>211</v>
      </c>
      <c r="E16" s="15" t="s">
        <v>191</v>
      </c>
      <c r="F16" s="10" t="s">
        <v>161</v>
      </c>
      <c r="G16" s="10" t="s">
        <v>175</v>
      </c>
      <c r="H16" s="10" t="s">
        <v>162</v>
      </c>
      <c r="I16" s="10" t="s">
        <v>162</v>
      </c>
      <c r="J16" s="15" t="s">
        <v>212</v>
      </c>
      <c r="K16" s="15" t="s">
        <v>193</v>
      </c>
      <c r="L16" s="10" t="s">
        <v>70</v>
      </c>
      <c r="M16" s="53" t="s">
        <v>70</v>
      </c>
      <c r="N16" s="53" t="s">
        <v>69</v>
      </c>
      <c r="O16" s="53" t="s">
        <v>69</v>
      </c>
      <c r="P16" s="54" t="s">
        <v>208</v>
      </c>
      <c r="Q16" s="54" t="s">
        <v>166</v>
      </c>
      <c r="R16" s="53" t="s">
        <v>209</v>
      </c>
    </row>
    <row r="17" spans="2:18" x14ac:dyDescent="0.2">
      <c r="B17" s="15" t="s">
        <v>213</v>
      </c>
      <c r="C17" s="30" t="s">
        <v>158</v>
      </c>
      <c r="D17" s="15" t="s">
        <v>168</v>
      </c>
      <c r="E17" s="15" t="s">
        <v>214</v>
      </c>
      <c r="F17" s="10" t="s">
        <v>215</v>
      </c>
      <c r="G17" s="10" t="s">
        <v>162</v>
      </c>
      <c r="H17" s="10" t="s">
        <v>162</v>
      </c>
      <c r="I17" s="10" t="s">
        <v>162</v>
      </c>
      <c r="J17" s="15" t="s">
        <v>216</v>
      </c>
      <c r="K17" s="15" t="s">
        <v>183</v>
      </c>
      <c r="L17" s="10" t="s">
        <v>70</v>
      </c>
      <c r="M17" s="53" t="s">
        <v>70</v>
      </c>
      <c r="N17" s="53" t="s">
        <v>69</v>
      </c>
      <c r="O17" s="53" t="s">
        <v>70</v>
      </c>
      <c r="P17" s="54" t="s">
        <v>165</v>
      </c>
      <c r="Q17" s="54" t="s">
        <v>166</v>
      </c>
      <c r="R17" s="53" t="s">
        <v>66</v>
      </c>
    </row>
    <row r="18" spans="2:18" x14ac:dyDescent="0.2">
      <c r="M18" s="41"/>
      <c r="N18" s="41"/>
      <c r="O18" s="41"/>
      <c r="P18" s="42"/>
      <c r="Q18" s="42"/>
      <c r="R18" s="41"/>
    </row>
    <row r="19" spans="2:18" x14ac:dyDescent="0.2">
      <c r="M19" s="41"/>
      <c r="N19" s="41"/>
      <c r="O19" s="41"/>
      <c r="P19" s="42"/>
      <c r="Q19" s="42"/>
      <c r="R19" s="41"/>
    </row>
    <row r="20" spans="2:18" x14ac:dyDescent="0.2">
      <c r="M20" s="41"/>
      <c r="N20" s="41"/>
      <c r="O20" s="41"/>
      <c r="P20" s="42"/>
      <c r="Q20" s="42"/>
      <c r="R20" s="41"/>
    </row>
    <row r="21" spans="2:18" x14ac:dyDescent="0.2">
      <c r="B21" s="39" t="s">
        <v>217</v>
      </c>
      <c r="D21" s="72" t="str">
        <f>_xlfn.CONCAT(C4," - ",D4," - ",E4," - ",,F4," - ",G4," - ",H4," - ",I4)</f>
        <v>Legal Entity - Cost Center - Natural Account - Intercompany - Product - Project - Future Use</v>
      </c>
      <c r="M21" s="41"/>
      <c r="N21" s="41"/>
      <c r="O21" s="41"/>
      <c r="P21" s="42"/>
      <c r="Q21" s="42"/>
      <c r="R21" s="41"/>
    </row>
    <row r="22" spans="2:18" x14ac:dyDescent="0.2">
      <c r="M22" s="41"/>
      <c r="N22" s="41"/>
      <c r="O22" s="41"/>
      <c r="P22" s="42"/>
      <c r="Q22" s="42"/>
      <c r="R22" s="41"/>
    </row>
    <row r="23" spans="2:18" x14ac:dyDescent="0.2">
      <c r="M23" s="41"/>
      <c r="N23" s="41"/>
      <c r="O23" s="41"/>
      <c r="P23" s="42"/>
      <c r="Q23" s="42"/>
      <c r="R23" s="41"/>
    </row>
    <row r="24" spans="2:18" x14ac:dyDescent="0.2">
      <c r="M24" s="41"/>
      <c r="N24" s="41"/>
      <c r="O24" s="41"/>
      <c r="P24" s="42"/>
      <c r="Q24" s="42"/>
      <c r="R24" s="41"/>
    </row>
    <row r="25" spans="2:18" x14ac:dyDescent="0.2">
      <c r="M25" s="41"/>
      <c r="N25" s="41"/>
      <c r="O25" s="41"/>
      <c r="P25" s="42"/>
      <c r="Q25" s="42"/>
      <c r="R25" s="41"/>
    </row>
  </sheetData>
  <printOptions horizontalCentered="1"/>
  <pageMargins left="0.19685039370078741" right="0.19685039370078741" top="0.39370078740157483" bottom="0.39370078740157483" header="0.19685039370078741" footer="0.19685039370078741"/>
  <pageSetup scale="36" orientation="landscape"/>
  <ignoredErrors>
    <ignoredError sqref="F5:F16 G5:G17 H5:I17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  <pageSetUpPr fitToPage="1"/>
  </sheetPr>
  <dimension ref="A1:R19"/>
  <sheetViews>
    <sheetView showGridLines="0" zoomScale="80" zoomScaleNormal="80" workbookViewId="0">
      <selection activeCell="B1" sqref="B1"/>
    </sheetView>
  </sheetViews>
  <sheetFormatPr defaultRowHeight="12" x14ac:dyDescent="0.2"/>
  <cols>
    <col min="1" max="1" width="1.7109375" style="31" customWidth="1"/>
    <col min="2" max="2" width="16.140625" style="25" customWidth="1"/>
    <col min="3" max="3" width="27.42578125" style="25" customWidth="1"/>
    <col min="4" max="4" width="19.5703125" style="25" customWidth="1"/>
    <col min="5" max="5" width="24.28515625" style="25" bestFit="1" customWidth="1"/>
    <col min="6" max="6" width="22.42578125" style="32" customWidth="1"/>
    <col min="7" max="7" width="22.5703125" style="32" bestFit="1" customWidth="1"/>
    <col min="8" max="8" width="16" style="32" customWidth="1"/>
    <col min="9" max="9" width="12" style="32" customWidth="1"/>
    <col min="10" max="10" width="14" style="32" customWidth="1"/>
    <col min="11" max="11" width="13.140625" style="32" bestFit="1" customWidth="1"/>
    <col min="12" max="12" width="16" style="32" bestFit="1" customWidth="1"/>
    <col min="13" max="13" width="16" style="21" bestFit="1" customWidth="1"/>
    <col min="14" max="14" width="18.28515625" style="21" bestFit="1" customWidth="1"/>
    <col min="15" max="15" width="18" style="21" bestFit="1" customWidth="1"/>
    <col min="16" max="16" width="18" style="21" customWidth="1"/>
    <col min="17" max="17" width="22.28515625" style="21" bestFit="1" customWidth="1"/>
    <col min="18" max="18" width="20.7109375" style="21" bestFit="1" customWidth="1"/>
    <col min="19" max="19" width="9.140625" style="21" customWidth="1"/>
    <col min="20" max="16384" width="9.140625" style="21"/>
  </cols>
  <sheetData>
    <row r="1" spans="1:18" s="27" customFormat="1" ht="23.25" customHeight="1" x14ac:dyDescent="0.35">
      <c r="A1" s="6" t="s">
        <v>218</v>
      </c>
      <c r="B1" s="33"/>
      <c r="C1" s="34"/>
      <c r="D1" s="33"/>
      <c r="E1" s="33"/>
      <c r="F1" s="33"/>
      <c r="G1" s="33"/>
      <c r="H1" s="33"/>
      <c r="I1" s="33"/>
      <c r="J1" s="33"/>
      <c r="K1" s="33"/>
      <c r="L1" s="33"/>
    </row>
    <row r="2" spans="1:18" s="26" customFormat="1" ht="15" customHeight="1" x14ac:dyDescent="0.2">
      <c r="A2" s="35"/>
      <c r="B2" s="7" t="s">
        <v>219</v>
      </c>
      <c r="C2" s="36"/>
      <c r="D2" s="35"/>
      <c r="E2" s="35"/>
      <c r="F2" s="35"/>
      <c r="G2" s="35"/>
      <c r="H2" s="35"/>
      <c r="I2" s="35"/>
      <c r="J2" s="35"/>
      <c r="K2" s="35"/>
      <c r="L2" s="35"/>
    </row>
    <row r="4" spans="1:18" ht="32.1" customHeight="1" x14ac:dyDescent="0.2">
      <c r="B4" s="1" t="s">
        <v>220</v>
      </c>
      <c r="C4" s="29" t="s">
        <v>221</v>
      </c>
      <c r="D4" s="14" t="s">
        <v>149</v>
      </c>
      <c r="E4" s="14" t="s">
        <v>222</v>
      </c>
      <c r="F4" s="14" t="s">
        <v>223</v>
      </c>
      <c r="G4" s="14" t="s">
        <v>224</v>
      </c>
      <c r="H4" s="1" t="s">
        <v>225</v>
      </c>
      <c r="I4" s="1" t="s">
        <v>226</v>
      </c>
      <c r="J4" s="1" t="s">
        <v>227</v>
      </c>
      <c r="K4" s="1" t="s">
        <v>228</v>
      </c>
      <c r="L4" s="14" t="s">
        <v>229</v>
      </c>
      <c r="M4" s="14" t="s">
        <v>230</v>
      </c>
      <c r="N4" s="14" t="s">
        <v>231</v>
      </c>
      <c r="O4" s="14" t="s">
        <v>232</v>
      </c>
      <c r="P4" s="14" t="s">
        <v>233</v>
      </c>
      <c r="Q4" s="14" t="s">
        <v>234</v>
      </c>
      <c r="R4" s="14" t="s">
        <v>235</v>
      </c>
    </row>
    <row r="5" spans="1:18" x14ac:dyDescent="0.2">
      <c r="B5" s="56" t="s">
        <v>236</v>
      </c>
      <c r="C5" s="51" t="s">
        <v>237</v>
      </c>
      <c r="D5" s="55" t="s">
        <v>238</v>
      </c>
      <c r="E5" s="55" t="s">
        <v>239</v>
      </c>
      <c r="F5" s="55"/>
      <c r="G5" s="55"/>
      <c r="H5" s="56" t="s">
        <v>240</v>
      </c>
      <c r="I5" s="56" t="s">
        <v>69</v>
      </c>
      <c r="J5" s="56" t="s">
        <v>241</v>
      </c>
      <c r="K5" s="56"/>
      <c r="L5" s="55"/>
      <c r="M5" s="57"/>
      <c r="N5" s="57"/>
      <c r="O5" s="57"/>
      <c r="P5" s="57"/>
      <c r="Q5" s="57"/>
      <c r="R5" s="57" t="s">
        <v>69</v>
      </c>
    </row>
    <row r="6" spans="1:18" x14ac:dyDescent="0.2">
      <c r="B6" s="56" t="s">
        <v>242</v>
      </c>
      <c r="C6" s="51" t="s">
        <v>243</v>
      </c>
      <c r="D6" s="55" t="s">
        <v>244</v>
      </c>
      <c r="E6" s="55" t="s">
        <v>239</v>
      </c>
      <c r="F6" s="55" t="s">
        <v>245</v>
      </c>
      <c r="G6" s="55" t="s">
        <v>243</v>
      </c>
      <c r="H6" s="56" t="s">
        <v>240</v>
      </c>
      <c r="I6" s="56" t="s">
        <v>69</v>
      </c>
      <c r="J6" s="56" t="s">
        <v>241</v>
      </c>
      <c r="K6" s="56"/>
      <c r="L6" s="55"/>
      <c r="M6" s="57"/>
      <c r="N6" s="57"/>
      <c r="O6" s="57"/>
      <c r="P6" s="57"/>
      <c r="Q6" s="57"/>
      <c r="R6" s="57" t="s">
        <v>69</v>
      </c>
    </row>
    <row r="7" spans="1:18" x14ac:dyDescent="0.2">
      <c r="B7" s="10" t="s">
        <v>246</v>
      </c>
      <c r="C7" s="30" t="s">
        <v>247</v>
      </c>
      <c r="D7" s="15" t="s">
        <v>248</v>
      </c>
      <c r="E7" s="15" t="s">
        <v>239</v>
      </c>
      <c r="F7" s="15" t="s">
        <v>245</v>
      </c>
      <c r="G7" s="15" t="s">
        <v>249</v>
      </c>
      <c r="H7" s="10" t="s">
        <v>250</v>
      </c>
      <c r="I7" s="10" t="s">
        <v>70</v>
      </c>
      <c r="J7" s="10" t="s">
        <v>241</v>
      </c>
      <c r="K7" s="10"/>
      <c r="L7" s="15" t="s">
        <v>251</v>
      </c>
      <c r="M7" s="46"/>
      <c r="N7" s="46"/>
      <c r="O7" s="46"/>
      <c r="P7" s="46" t="s">
        <v>252</v>
      </c>
      <c r="Q7" s="46"/>
      <c r="R7" s="46" t="s">
        <v>70</v>
      </c>
    </row>
    <row r="8" spans="1:18" x14ac:dyDescent="0.2">
      <c r="B8" s="10" t="s">
        <v>253</v>
      </c>
      <c r="C8" s="30" t="s">
        <v>254</v>
      </c>
      <c r="D8" s="15" t="s">
        <v>248</v>
      </c>
      <c r="E8" s="15" t="s">
        <v>239</v>
      </c>
      <c r="F8" s="15" t="s">
        <v>245</v>
      </c>
      <c r="G8" s="15" t="s">
        <v>255</v>
      </c>
      <c r="H8" s="10" t="s">
        <v>250</v>
      </c>
      <c r="I8" s="10" t="s">
        <v>69</v>
      </c>
      <c r="J8" s="10" t="s">
        <v>241</v>
      </c>
      <c r="K8" s="10"/>
      <c r="L8" s="15" t="s">
        <v>256</v>
      </c>
      <c r="M8" s="46"/>
      <c r="N8" s="46"/>
      <c r="O8" s="46"/>
      <c r="P8" s="46"/>
      <c r="Q8" s="46"/>
      <c r="R8" s="46" t="s">
        <v>69</v>
      </c>
    </row>
    <row r="9" spans="1:18" x14ac:dyDescent="0.2">
      <c r="B9" s="10" t="s">
        <v>257</v>
      </c>
      <c r="C9" s="30" t="s">
        <v>79</v>
      </c>
      <c r="D9" s="15" t="s">
        <v>248</v>
      </c>
      <c r="E9" s="15" t="s">
        <v>239</v>
      </c>
      <c r="F9" s="15" t="s">
        <v>245</v>
      </c>
      <c r="G9" s="15" t="s">
        <v>258</v>
      </c>
      <c r="H9" s="10" t="s">
        <v>250</v>
      </c>
      <c r="I9" s="10" t="s">
        <v>69</v>
      </c>
      <c r="J9" s="10" t="s">
        <v>241</v>
      </c>
      <c r="K9" s="10"/>
      <c r="L9" s="15" t="s">
        <v>259</v>
      </c>
      <c r="M9" s="46"/>
      <c r="N9" s="46"/>
      <c r="O9" s="46"/>
      <c r="P9" s="46"/>
      <c r="Q9" s="46"/>
      <c r="R9" s="46" t="s">
        <v>69</v>
      </c>
    </row>
    <row r="10" spans="1:18" x14ac:dyDescent="0.2">
      <c r="B10" s="56" t="s">
        <v>260</v>
      </c>
      <c r="C10" s="51" t="s">
        <v>261</v>
      </c>
      <c r="D10" s="55" t="s">
        <v>262</v>
      </c>
      <c r="E10" s="55" t="s">
        <v>239</v>
      </c>
      <c r="F10" s="55" t="s">
        <v>245</v>
      </c>
      <c r="G10" s="55" t="s">
        <v>243</v>
      </c>
      <c r="H10" s="56" t="s">
        <v>240</v>
      </c>
      <c r="I10" s="56" t="s">
        <v>69</v>
      </c>
      <c r="J10" s="56" t="s">
        <v>241</v>
      </c>
      <c r="K10" s="56" t="s">
        <v>263</v>
      </c>
      <c r="L10" s="55"/>
      <c r="M10" s="57"/>
      <c r="N10" s="57"/>
      <c r="O10" s="57"/>
      <c r="P10" s="57"/>
      <c r="Q10" s="57"/>
      <c r="R10" s="57" t="s">
        <v>69</v>
      </c>
    </row>
    <row r="11" spans="1:18" x14ac:dyDescent="0.2">
      <c r="B11" s="56" t="s">
        <v>264</v>
      </c>
      <c r="C11" s="51" t="s">
        <v>265</v>
      </c>
      <c r="D11" s="55" t="s">
        <v>238</v>
      </c>
      <c r="E11" s="55" t="s">
        <v>239</v>
      </c>
      <c r="F11" s="55"/>
      <c r="G11" s="55"/>
      <c r="H11" s="56" t="s">
        <v>240</v>
      </c>
      <c r="I11" s="56" t="s">
        <v>69</v>
      </c>
      <c r="J11" s="56" t="s">
        <v>241</v>
      </c>
      <c r="K11" s="56"/>
      <c r="L11" s="55"/>
      <c r="M11" s="57"/>
      <c r="N11" s="57"/>
      <c r="O11" s="57"/>
      <c r="P11" s="57"/>
      <c r="Q11" s="57"/>
      <c r="R11" s="57" t="s">
        <v>69</v>
      </c>
    </row>
    <row r="12" spans="1:18" x14ac:dyDescent="0.2">
      <c r="B12" s="10" t="s">
        <v>266</v>
      </c>
      <c r="C12" s="30" t="s">
        <v>267</v>
      </c>
      <c r="D12" s="15" t="s">
        <v>248</v>
      </c>
      <c r="E12" s="15" t="s">
        <v>239</v>
      </c>
      <c r="F12" s="15" t="s">
        <v>268</v>
      </c>
      <c r="G12" s="15" t="s">
        <v>269</v>
      </c>
      <c r="H12" s="10" t="s">
        <v>270</v>
      </c>
      <c r="I12" s="10" t="s">
        <v>69</v>
      </c>
      <c r="J12" s="10" t="s">
        <v>241</v>
      </c>
      <c r="K12" s="10"/>
      <c r="L12" s="15" t="s">
        <v>251</v>
      </c>
      <c r="M12" s="46"/>
      <c r="N12" s="46"/>
      <c r="O12" s="46"/>
      <c r="P12" s="46"/>
      <c r="Q12" s="46"/>
      <c r="R12" s="46" t="s">
        <v>69</v>
      </c>
    </row>
    <row r="13" spans="1:18" x14ac:dyDescent="0.2">
      <c r="B13" s="10" t="s">
        <v>271</v>
      </c>
      <c r="C13" s="30" t="s">
        <v>95</v>
      </c>
      <c r="D13" s="15" t="s">
        <v>248</v>
      </c>
      <c r="E13" s="15" t="s">
        <v>239</v>
      </c>
      <c r="F13" s="15" t="s">
        <v>272</v>
      </c>
      <c r="G13" s="15" t="s">
        <v>272</v>
      </c>
      <c r="H13" s="10" t="s">
        <v>270</v>
      </c>
      <c r="I13" s="10" t="s">
        <v>70</v>
      </c>
      <c r="J13" s="10" t="s">
        <v>241</v>
      </c>
      <c r="K13" s="10"/>
      <c r="L13" s="15" t="s">
        <v>251</v>
      </c>
      <c r="M13" s="46"/>
      <c r="N13" s="46"/>
      <c r="O13" s="46"/>
      <c r="P13" s="46"/>
      <c r="Q13" s="46"/>
      <c r="R13" s="46" t="s">
        <v>69</v>
      </c>
    </row>
    <row r="14" spans="1:18" x14ac:dyDescent="0.2">
      <c r="B14" s="56" t="s">
        <v>273</v>
      </c>
      <c r="C14" s="51" t="s">
        <v>274</v>
      </c>
      <c r="D14" s="55" t="s">
        <v>238</v>
      </c>
      <c r="E14" s="55" t="s">
        <v>275</v>
      </c>
      <c r="F14" s="55"/>
      <c r="G14" s="55"/>
      <c r="H14" s="56" t="s">
        <v>240</v>
      </c>
      <c r="I14" s="56" t="s">
        <v>69</v>
      </c>
      <c r="J14" s="56" t="s">
        <v>241</v>
      </c>
      <c r="K14" s="56"/>
      <c r="L14" s="55"/>
      <c r="M14" s="57"/>
      <c r="N14" s="57"/>
      <c r="O14" s="57"/>
      <c r="P14" s="57"/>
      <c r="Q14" s="57"/>
      <c r="R14" s="57" t="s">
        <v>69</v>
      </c>
    </row>
    <row r="15" spans="1:18" x14ac:dyDescent="0.2">
      <c r="B15" s="10" t="s">
        <v>276</v>
      </c>
      <c r="C15" s="30" t="s">
        <v>277</v>
      </c>
      <c r="D15" s="15" t="s">
        <v>248</v>
      </c>
      <c r="E15" s="15" t="s">
        <v>275</v>
      </c>
      <c r="F15" s="15" t="s">
        <v>278</v>
      </c>
      <c r="G15" s="15" t="s">
        <v>279</v>
      </c>
      <c r="H15" s="10" t="s">
        <v>270</v>
      </c>
      <c r="I15" s="10" t="s">
        <v>70</v>
      </c>
      <c r="J15" s="10" t="s">
        <v>241</v>
      </c>
      <c r="K15" s="10"/>
      <c r="L15" s="15" t="s">
        <v>256</v>
      </c>
      <c r="M15" s="46" t="s">
        <v>280</v>
      </c>
      <c r="N15" s="46" t="s">
        <v>281</v>
      </c>
      <c r="O15" s="46" t="s">
        <v>282</v>
      </c>
      <c r="P15" s="46" t="s">
        <v>252</v>
      </c>
      <c r="Q15" s="46"/>
      <c r="R15" s="46" t="s">
        <v>69</v>
      </c>
    </row>
    <row r="16" spans="1:18" x14ac:dyDescent="0.2">
      <c r="B16" s="56" t="s">
        <v>283</v>
      </c>
      <c r="C16" s="51" t="s">
        <v>284</v>
      </c>
      <c r="D16" s="55" t="s">
        <v>248</v>
      </c>
      <c r="E16" s="55" t="s">
        <v>275</v>
      </c>
      <c r="F16" s="55" t="s">
        <v>285</v>
      </c>
      <c r="G16" s="55" t="s">
        <v>286</v>
      </c>
      <c r="H16" s="56" t="s">
        <v>250</v>
      </c>
      <c r="I16" s="56" t="s">
        <v>70</v>
      </c>
      <c r="J16" s="56" t="s">
        <v>241</v>
      </c>
      <c r="K16" s="56"/>
      <c r="L16" s="55" t="s">
        <v>259</v>
      </c>
      <c r="M16" s="57"/>
      <c r="N16" s="57"/>
      <c r="O16" s="57"/>
      <c r="P16" s="57" t="s">
        <v>252</v>
      </c>
      <c r="Q16" s="57" t="s">
        <v>287</v>
      </c>
      <c r="R16" s="57" t="s">
        <v>69</v>
      </c>
    </row>
    <row r="17" spans="2:18" x14ac:dyDescent="0.2">
      <c r="B17" s="10" t="s">
        <v>288</v>
      </c>
      <c r="C17" s="30" t="s">
        <v>289</v>
      </c>
      <c r="D17" s="15" t="s">
        <v>248</v>
      </c>
      <c r="E17" s="15" t="s">
        <v>275</v>
      </c>
      <c r="F17" s="15" t="s">
        <v>197</v>
      </c>
      <c r="G17" s="15" t="s">
        <v>290</v>
      </c>
      <c r="H17" s="10" t="s">
        <v>250</v>
      </c>
      <c r="I17" s="10" t="s">
        <v>70</v>
      </c>
      <c r="J17" s="10" t="s">
        <v>241</v>
      </c>
      <c r="K17" s="10"/>
      <c r="L17" s="15" t="s">
        <v>251</v>
      </c>
      <c r="M17" s="46"/>
      <c r="N17" s="46"/>
      <c r="O17" s="46"/>
      <c r="P17" s="46" t="s">
        <v>252</v>
      </c>
      <c r="Q17" s="46" t="s">
        <v>291</v>
      </c>
      <c r="R17" s="46" t="s">
        <v>69</v>
      </c>
    </row>
    <row r="18" spans="2:18" x14ac:dyDescent="0.2">
      <c r="B18" s="10" t="s">
        <v>292</v>
      </c>
      <c r="C18" s="30" t="s">
        <v>293</v>
      </c>
      <c r="D18" s="15" t="s">
        <v>248</v>
      </c>
      <c r="E18" s="15" t="s">
        <v>275</v>
      </c>
      <c r="F18" s="15" t="s">
        <v>197</v>
      </c>
      <c r="G18" s="15" t="s">
        <v>294</v>
      </c>
      <c r="H18" s="10" t="s">
        <v>250</v>
      </c>
      <c r="I18" s="10" t="s">
        <v>70</v>
      </c>
      <c r="J18" s="10" t="s">
        <v>241</v>
      </c>
      <c r="K18" s="10"/>
      <c r="L18" s="15" t="s">
        <v>295</v>
      </c>
      <c r="M18" s="46" t="s">
        <v>296</v>
      </c>
      <c r="N18" s="46" t="s">
        <v>297</v>
      </c>
      <c r="O18" s="46"/>
      <c r="P18" s="46" t="s">
        <v>298</v>
      </c>
      <c r="Q18" s="46" t="s">
        <v>299</v>
      </c>
      <c r="R18" s="46" t="s">
        <v>69</v>
      </c>
    </row>
    <row r="19" spans="2:18" x14ac:dyDescent="0.2">
      <c r="B19" s="56" t="s">
        <v>300</v>
      </c>
      <c r="C19" s="51" t="s">
        <v>301</v>
      </c>
      <c r="D19" s="55" t="s">
        <v>262</v>
      </c>
      <c r="E19" s="55" t="s">
        <v>275</v>
      </c>
      <c r="F19" s="55" t="s">
        <v>197</v>
      </c>
      <c r="G19" s="55"/>
      <c r="H19" s="56" t="s">
        <v>240</v>
      </c>
      <c r="I19" s="56" t="s">
        <v>69</v>
      </c>
      <c r="J19" s="56" t="s">
        <v>241</v>
      </c>
      <c r="K19" s="56" t="s">
        <v>302</v>
      </c>
      <c r="L19" s="55"/>
      <c r="M19" s="57"/>
      <c r="N19" s="57"/>
      <c r="O19" s="57"/>
      <c r="P19" s="57"/>
      <c r="Q19" s="57"/>
      <c r="R19" s="57" t="s">
        <v>69</v>
      </c>
    </row>
  </sheetData>
  <autoFilter ref="B4:R19" xr:uid="{00000000-0009-0000-0000-000003000000}"/>
  <printOptions horizontalCentered="1"/>
  <pageMargins left="0.19685039370078741" right="0.19685039370078741" top="0.39370078740157483" bottom="0.39370078740157483" header="0.19685039370078741" footer="0.19685039370078741"/>
  <pageSetup scale="38" orientation="landscape"/>
  <ignoredErrors>
    <ignoredError sqref="B5:B19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79998168889431442"/>
    <pageSetUpPr fitToPage="1"/>
  </sheetPr>
  <dimension ref="A1:Q19"/>
  <sheetViews>
    <sheetView showGridLines="0" zoomScale="80" zoomScaleNormal="80" workbookViewId="0">
      <selection activeCell="B1" sqref="B1"/>
    </sheetView>
  </sheetViews>
  <sheetFormatPr defaultRowHeight="12" x14ac:dyDescent="0.25"/>
  <cols>
    <col min="1" max="1" width="1.7109375" style="31" customWidth="1"/>
    <col min="2" max="2" width="17.7109375" style="38" customWidth="1"/>
    <col min="3" max="3" width="30.28515625" style="38" customWidth="1"/>
    <col min="4" max="4" width="22.7109375" style="38" customWidth="1"/>
    <col min="5" max="5" width="33.28515625" style="38" customWidth="1"/>
    <col min="6" max="6" width="31.28515625" style="32" bestFit="1" customWidth="1"/>
    <col min="7" max="7" width="22" style="32" customWidth="1"/>
    <col min="8" max="8" width="17.140625" style="32" bestFit="1" customWidth="1"/>
    <col min="9" max="9" width="14.42578125" style="25" bestFit="1" customWidth="1"/>
    <col min="10" max="11" width="14" style="32" customWidth="1"/>
    <col min="12" max="12" width="19.28515625" style="32" bestFit="1" customWidth="1"/>
    <col min="13" max="13" width="17.28515625" style="31" bestFit="1" customWidth="1"/>
    <col min="14" max="15" width="17.5703125" style="31" bestFit="1" customWidth="1"/>
    <col min="16" max="16" width="7.28515625" style="31" bestFit="1" customWidth="1"/>
    <col min="17" max="17" width="7.7109375" style="32" bestFit="1" customWidth="1"/>
    <col min="18" max="18" width="9.140625" style="31" customWidth="1"/>
    <col min="19" max="16384" width="9.140625" style="31"/>
  </cols>
  <sheetData>
    <row r="1" spans="1:17" s="33" customFormat="1" ht="23.25" customHeight="1" x14ac:dyDescent="0.25">
      <c r="A1" s="6" t="s">
        <v>303</v>
      </c>
      <c r="I1" s="34"/>
      <c r="J1" s="43"/>
      <c r="K1" s="43"/>
      <c r="Q1" s="43"/>
    </row>
    <row r="2" spans="1:17" s="35" customFormat="1" ht="15" customHeight="1" x14ac:dyDescent="0.25">
      <c r="B2" s="7" t="s">
        <v>304</v>
      </c>
      <c r="I2" s="36"/>
      <c r="J2" s="44"/>
      <c r="K2" s="44"/>
      <c r="Q2" s="44"/>
    </row>
    <row r="4" spans="1:17" ht="32.1" customHeight="1" x14ac:dyDescent="0.25">
      <c r="B4" s="14" t="s">
        <v>305</v>
      </c>
      <c r="C4" s="14" t="s">
        <v>221</v>
      </c>
      <c r="D4" s="14" t="s">
        <v>306</v>
      </c>
      <c r="E4" s="14" t="s">
        <v>307</v>
      </c>
      <c r="F4" s="14" t="s">
        <v>308</v>
      </c>
      <c r="G4" s="14" t="s">
        <v>309</v>
      </c>
      <c r="H4" s="14" t="s">
        <v>310</v>
      </c>
      <c r="I4" s="14" t="s">
        <v>311</v>
      </c>
      <c r="J4" s="1" t="s">
        <v>312</v>
      </c>
      <c r="K4" s="1" t="s">
        <v>156</v>
      </c>
      <c r="L4" s="14" t="s">
        <v>313</v>
      </c>
      <c r="M4" s="14" t="s">
        <v>314</v>
      </c>
      <c r="N4" s="14" t="s">
        <v>315</v>
      </c>
      <c r="O4" s="14" t="s">
        <v>316</v>
      </c>
      <c r="P4" s="1" t="s">
        <v>317</v>
      </c>
      <c r="Q4" s="1" t="s">
        <v>318</v>
      </c>
    </row>
    <row r="5" spans="1:17" x14ac:dyDescent="0.25">
      <c r="B5" s="30" t="s">
        <v>319</v>
      </c>
      <c r="C5" s="30" t="s">
        <v>320</v>
      </c>
      <c r="D5" s="30" t="s">
        <v>321</v>
      </c>
      <c r="E5" s="30" t="s">
        <v>322</v>
      </c>
      <c r="F5" s="30" t="s">
        <v>323</v>
      </c>
      <c r="G5" s="30"/>
      <c r="H5" s="30"/>
      <c r="I5" s="30"/>
      <c r="J5" s="45" t="s">
        <v>324</v>
      </c>
      <c r="K5" s="45" t="s">
        <v>66</v>
      </c>
      <c r="L5" s="30" t="s">
        <v>325</v>
      </c>
      <c r="M5" s="30" t="s">
        <v>325</v>
      </c>
      <c r="N5" s="30" t="s">
        <v>326</v>
      </c>
      <c r="O5" s="30"/>
      <c r="P5" s="45" t="s">
        <v>69</v>
      </c>
      <c r="Q5" s="45" t="s">
        <v>70</v>
      </c>
    </row>
    <row r="6" spans="1:17" x14ac:dyDescent="0.25">
      <c r="B6" s="30" t="s">
        <v>327</v>
      </c>
      <c r="C6" s="30" t="s">
        <v>254</v>
      </c>
      <c r="D6" s="30" t="s">
        <v>254</v>
      </c>
      <c r="E6" s="30" t="s">
        <v>328</v>
      </c>
      <c r="F6" s="30" t="s">
        <v>323</v>
      </c>
      <c r="G6" s="30"/>
      <c r="H6" s="30"/>
      <c r="I6" s="30"/>
      <c r="J6" s="45"/>
      <c r="K6" s="45" t="s">
        <v>66</v>
      </c>
      <c r="L6" s="30" t="s">
        <v>325</v>
      </c>
      <c r="M6" s="30" t="s">
        <v>329</v>
      </c>
      <c r="N6" s="30" t="s">
        <v>326</v>
      </c>
      <c r="O6" s="30"/>
      <c r="P6" s="45" t="s">
        <v>69</v>
      </c>
      <c r="Q6" s="45" t="s">
        <v>70</v>
      </c>
    </row>
    <row r="7" spans="1:17" x14ac:dyDescent="0.25">
      <c r="B7" s="30" t="s">
        <v>330</v>
      </c>
      <c r="C7" s="30" t="s">
        <v>79</v>
      </c>
      <c r="D7" s="30" t="s">
        <v>258</v>
      </c>
      <c r="E7" s="30" t="s">
        <v>331</v>
      </c>
      <c r="F7" s="30" t="s">
        <v>323</v>
      </c>
      <c r="G7" s="30"/>
      <c r="H7" s="30" t="s">
        <v>332</v>
      </c>
      <c r="I7" s="30" t="s">
        <v>333</v>
      </c>
      <c r="J7" s="45" t="s">
        <v>334</v>
      </c>
      <c r="K7" s="45" t="s">
        <v>66</v>
      </c>
      <c r="L7" s="30" t="s">
        <v>325</v>
      </c>
      <c r="M7" s="30" t="s">
        <v>329</v>
      </c>
      <c r="N7" s="30" t="s">
        <v>326</v>
      </c>
      <c r="O7" s="30" t="s">
        <v>335</v>
      </c>
      <c r="P7" s="45" t="s">
        <v>69</v>
      </c>
      <c r="Q7" s="45" t="s">
        <v>70</v>
      </c>
    </row>
    <row r="8" spans="1:17" x14ac:dyDescent="0.25">
      <c r="B8" s="30" t="s">
        <v>336</v>
      </c>
      <c r="C8" s="30" t="s">
        <v>337</v>
      </c>
      <c r="D8" s="30" t="s">
        <v>338</v>
      </c>
      <c r="E8" s="30" t="s">
        <v>339</v>
      </c>
      <c r="F8" s="30" t="s">
        <v>323</v>
      </c>
      <c r="G8" s="30"/>
      <c r="H8" s="30"/>
      <c r="I8" s="30" t="s">
        <v>333</v>
      </c>
      <c r="J8" s="45" t="s">
        <v>334</v>
      </c>
      <c r="K8" s="45" t="s">
        <v>66</v>
      </c>
      <c r="L8" s="30" t="s">
        <v>340</v>
      </c>
      <c r="M8" s="30" t="s">
        <v>340</v>
      </c>
      <c r="N8" s="30" t="s">
        <v>326</v>
      </c>
      <c r="O8" s="30"/>
      <c r="P8" s="45" t="s">
        <v>69</v>
      </c>
      <c r="Q8" s="45" t="s">
        <v>70</v>
      </c>
    </row>
    <row r="9" spans="1:17" x14ac:dyDescent="0.25">
      <c r="B9" s="30" t="s">
        <v>341</v>
      </c>
      <c r="C9" s="30" t="s">
        <v>267</v>
      </c>
      <c r="D9" s="30" t="s">
        <v>267</v>
      </c>
      <c r="E9" s="30" t="s">
        <v>342</v>
      </c>
      <c r="F9" s="30" t="s">
        <v>323</v>
      </c>
      <c r="G9" s="30"/>
      <c r="H9" s="30"/>
      <c r="I9" s="30" t="s">
        <v>343</v>
      </c>
      <c r="J9" s="45" t="s">
        <v>324</v>
      </c>
      <c r="K9" s="45" t="s">
        <v>66</v>
      </c>
      <c r="L9" s="30" t="s">
        <v>325</v>
      </c>
      <c r="M9" s="30" t="s">
        <v>329</v>
      </c>
      <c r="N9" s="30" t="s">
        <v>326</v>
      </c>
      <c r="O9" s="30"/>
      <c r="P9" s="45" t="s">
        <v>69</v>
      </c>
      <c r="Q9" s="45" t="s">
        <v>70</v>
      </c>
    </row>
    <row r="10" spans="1:17" x14ac:dyDescent="0.25">
      <c r="B10" s="30" t="s">
        <v>344</v>
      </c>
      <c r="C10" s="30" t="s">
        <v>345</v>
      </c>
      <c r="D10" s="30" t="s">
        <v>346</v>
      </c>
      <c r="E10" s="30" t="s">
        <v>347</v>
      </c>
      <c r="F10" s="30" t="s">
        <v>323</v>
      </c>
      <c r="G10" s="30"/>
      <c r="H10" s="30"/>
      <c r="I10" s="30" t="s">
        <v>343</v>
      </c>
      <c r="J10" s="45"/>
      <c r="K10" s="45" t="s">
        <v>66</v>
      </c>
      <c r="L10" s="30" t="s">
        <v>325</v>
      </c>
      <c r="M10" s="30" t="s">
        <v>329</v>
      </c>
      <c r="N10" s="30" t="s">
        <v>326</v>
      </c>
      <c r="O10" s="30"/>
      <c r="P10" s="45" t="s">
        <v>69</v>
      </c>
      <c r="Q10" s="45" t="s">
        <v>70</v>
      </c>
    </row>
    <row r="11" spans="1:17" x14ac:dyDescent="0.25">
      <c r="B11" s="30" t="s">
        <v>348</v>
      </c>
      <c r="C11" s="30" t="s">
        <v>95</v>
      </c>
      <c r="D11" s="30" t="s">
        <v>272</v>
      </c>
      <c r="E11" s="30" t="s">
        <v>349</v>
      </c>
      <c r="F11" s="30" t="s">
        <v>350</v>
      </c>
      <c r="G11" s="30"/>
      <c r="H11" s="30"/>
      <c r="I11" s="30"/>
      <c r="J11" s="45"/>
      <c r="K11" s="45" t="s">
        <v>66</v>
      </c>
      <c r="L11" s="30" t="s">
        <v>340</v>
      </c>
      <c r="M11" s="30" t="s">
        <v>340</v>
      </c>
      <c r="N11" s="30"/>
      <c r="O11" s="30"/>
      <c r="P11" s="45" t="s">
        <v>69</v>
      </c>
      <c r="Q11" s="45" t="s">
        <v>70</v>
      </c>
    </row>
    <row r="12" spans="1:17" x14ac:dyDescent="0.25">
      <c r="B12" s="30" t="s">
        <v>351</v>
      </c>
      <c r="C12" s="30" t="s">
        <v>352</v>
      </c>
      <c r="D12" s="30" t="s">
        <v>278</v>
      </c>
      <c r="E12" s="30" t="s">
        <v>353</v>
      </c>
      <c r="F12" s="30" t="s">
        <v>323</v>
      </c>
      <c r="G12" s="30"/>
      <c r="H12" s="30" t="s">
        <v>332</v>
      </c>
      <c r="I12" s="30" t="s">
        <v>354</v>
      </c>
      <c r="J12" s="45" t="s">
        <v>324</v>
      </c>
      <c r="K12" s="45" t="s">
        <v>66</v>
      </c>
      <c r="L12" s="30" t="s">
        <v>325</v>
      </c>
      <c r="M12" s="30" t="s">
        <v>325</v>
      </c>
      <c r="N12" s="30" t="s">
        <v>326</v>
      </c>
      <c r="O12" s="30" t="s">
        <v>335</v>
      </c>
      <c r="P12" s="45" t="s">
        <v>69</v>
      </c>
      <c r="Q12" s="45" t="s">
        <v>70</v>
      </c>
    </row>
    <row r="13" spans="1:17" x14ac:dyDescent="0.25">
      <c r="B13" s="30" t="s">
        <v>355</v>
      </c>
      <c r="C13" s="30" t="s">
        <v>356</v>
      </c>
      <c r="D13" s="30" t="s">
        <v>278</v>
      </c>
      <c r="E13" s="30" t="s">
        <v>357</v>
      </c>
      <c r="F13" s="30" t="s">
        <v>323</v>
      </c>
      <c r="G13" s="30" t="s">
        <v>351</v>
      </c>
      <c r="H13" s="30" t="s">
        <v>332</v>
      </c>
      <c r="I13" s="30" t="s">
        <v>354</v>
      </c>
      <c r="J13" s="45" t="s">
        <v>324</v>
      </c>
      <c r="K13" s="45" t="s">
        <v>66</v>
      </c>
      <c r="L13" s="30" t="s">
        <v>325</v>
      </c>
      <c r="M13" s="30" t="s">
        <v>325</v>
      </c>
      <c r="N13" s="30" t="s">
        <v>326</v>
      </c>
      <c r="O13" s="30" t="s">
        <v>358</v>
      </c>
      <c r="P13" s="45" t="s">
        <v>69</v>
      </c>
      <c r="Q13" s="45" t="s">
        <v>70</v>
      </c>
    </row>
    <row r="14" spans="1:17" x14ac:dyDescent="0.25">
      <c r="B14" s="30" t="s">
        <v>359</v>
      </c>
      <c r="C14" s="30" t="s">
        <v>284</v>
      </c>
      <c r="D14" s="30" t="s">
        <v>285</v>
      </c>
      <c r="E14" s="30" t="s">
        <v>360</v>
      </c>
      <c r="F14" s="30" t="s">
        <v>323</v>
      </c>
      <c r="G14" s="30"/>
      <c r="H14" s="30" t="s">
        <v>332</v>
      </c>
      <c r="I14" s="30" t="s">
        <v>333</v>
      </c>
      <c r="J14" s="45" t="s">
        <v>334</v>
      </c>
      <c r="K14" s="45" t="s">
        <v>66</v>
      </c>
      <c r="L14" s="30" t="s">
        <v>325</v>
      </c>
      <c r="M14" s="30" t="s">
        <v>325</v>
      </c>
      <c r="N14" s="30" t="s">
        <v>326</v>
      </c>
      <c r="O14" s="30" t="s">
        <v>335</v>
      </c>
      <c r="P14" s="45" t="s">
        <v>69</v>
      </c>
      <c r="Q14" s="45" t="s">
        <v>70</v>
      </c>
    </row>
    <row r="15" spans="1:17" x14ac:dyDescent="0.25">
      <c r="B15" s="30" t="s">
        <v>361</v>
      </c>
      <c r="C15" s="30" t="s">
        <v>289</v>
      </c>
      <c r="D15" s="30" t="s">
        <v>197</v>
      </c>
      <c r="E15" s="30" t="s">
        <v>362</v>
      </c>
      <c r="F15" s="30" t="s">
        <v>323</v>
      </c>
      <c r="G15" s="30"/>
      <c r="H15" s="30"/>
      <c r="I15" s="30" t="s">
        <v>333</v>
      </c>
      <c r="J15" s="45" t="s">
        <v>324</v>
      </c>
      <c r="K15" s="45" t="s">
        <v>66</v>
      </c>
      <c r="L15" s="30" t="s">
        <v>325</v>
      </c>
      <c r="M15" s="30" t="s">
        <v>325</v>
      </c>
      <c r="N15" s="30" t="s">
        <v>326</v>
      </c>
      <c r="O15" s="30"/>
      <c r="P15" s="45" t="s">
        <v>69</v>
      </c>
      <c r="Q15" s="45" t="s">
        <v>70</v>
      </c>
    </row>
    <row r="16" spans="1:17" x14ac:dyDescent="0.25">
      <c r="B16" s="30" t="s">
        <v>363</v>
      </c>
      <c r="C16" s="30" t="s">
        <v>364</v>
      </c>
      <c r="D16" s="30" t="s">
        <v>197</v>
      </c>
      <c r="E16" s="30" t="s">
        <v>365</v>
      </c>
      <c r="F16" s="30" t="s">
        <v>323</v>
      </c>
      <c r="G16" s="30"/>
      <c r="H16" s="30" t="s">
        <v>332</v>
      </c>
      <c r="I16" s="30" t="s">
        <v>294</v>
      </c>
      <c r="J16" s="45" t="s">
        <v>324</v>
      </c>
      <c r="K16" s="45" t="s">
        <v>66</v>
      </c>
      <c r="L16" s="30" t="s">
        <v>325</v>
      </c>
      <c r="M16" s="30" t="s">
        <v>325</v>
      </c>
      <c r="N16" s="30" t="s">
        <v>326</v>
      </c>
      <c r="O16" s="30"/>
      <c r="P16" s="45" t="s">
        <v>69</v>
      </c>
      <c r="Q16" s="45" t="s">
        <v>70</v>
      </c>
    </row>
    <row r="17" spans="2:17" x14ac:dyDescent="0.25">
      <c r="B17" s="30" t="s">
        <v>366</v>
      </c>
      <c r="C17" s="30" t="s">
        <v>132</v>
      </c>
      <c r="D17" s="30" t="s">
        <v>367</v>
      </c>
      <c r="E17" s="30" t="s">
        <v>368</v>
      </c>
      <c r="F17" s="30" t="s">
        <v>350</v>
      </c>
      <c r="G17" s="30"/>
      <c r="H17" s="30"/>
      <c r="I17" s="30" t="s">
        <v>343</v>
      </c>
      <c r="J17" s="45"/>
      <c r="K17" s="45" t="s">
        <v>66</v>
      </c>
      <c r="L17" s="30" t="s">
        <v>325</v>
      </c>
      <c r="M17" s="30" t="s">
        <v>325</v>
      </c>
      <c r="N17" s="30"/>
      <c r="O17" s="30"/>
      <c r="P17" s="45" t="s">
        <v>69</v>
      </c>
      <c r="Q17" s="45" t="s">
        <v>70</v>
      </c>
    </row>
    <row r="18" spans="2:17" x14ac:dyDescent="0.25">
      <c r="B18" s="30" t="s">
        <v>369</v>
      </c>
      <c r="C18" s="30" t="s">
        <v>370</v>
      </c>
      <c r="D18" s="30" t="s">
        <v>321</v>
      </c>
      <c r="E18" s="30" t="s">
        <v>371</v>
      </c>
      <c r="F18" s="30" t="s">
        <v>372</v>
      </c>
      <c r="G18" s="30"/>
      <c r="H18" s="30"/>
      <c r="I18" s="30"/>
      <c r="J18" s="45" t="s">
        <v>373</v>
      </c>
      <c r="K18" s="45" t="s">
        <v>209</v>
      </c>
      <c r="L18" s="30" t="s">
        <v>325</v>
      </c>
      <c r="M18" s="30" t="s">
        <v>325</v>
      </c>
      <c r="N18" s="30" t="s">
        <v>374</v>
      </c>
      <c r="O18" s="30"/>
      <c r="P18" s="45" t="s">
        <v>69</v>
      </c>
      <c r="Q18" s="45" t="s">
        <v>70</v>
      </c>
    </row>
    <row r="19" spans="2:17" x14ac:dyDescent="0.25">
      <c r="B19" s="30" t="s">
        <v>375</v>
      </c>
      <c r="C19" s="30" t="s">
        <v>376</v>
      </c>
      <c r="D19" s="30" t="s">
        <v>278</v>
      </c>
      <c r="E19" s="30" t="s">
        <v>212</v>
      </c>
      <c r="F19" s="30" t="s">
        <v>372</v>
      </c>
      <c r="G19" s="30"/>
      <c r="H19" s="30" t="s">
        <v>332</v>
      </c>
      <c r="I19" s="30" t="s">
        <v>354</v>
      </c>
      <c r="J19" s="45" t="s">
        <v>373</v>
      </c>
      <c r="K19" s="45" t="s">
        <v>209</v>
      </c>
      <c r="L19" s="30" t="s">
        <v>325</v>
      </c>
      <c r="M19" s="30" t="s">
        <v>325</v>
      </c>
      <c r="N19" s="30" t="s">
        <v>374</v>
      </c>
      <c r="O19" s="30" t="s">
        <v>335</v>
      </c>
      <c r="P19" s="45" t="s">
        <v>69</v>
      </c>
      <c r="Q19" s="45" t="s">
        <v>70</v>
      </c>
    </row>
  </sheetData>
  <printOptions horizontalCentered="1"/>
  <pageMargins left="0.19685039370078741" right="0.19685039370078741" top="0.39370078740157483" bottom="0.39370078740157483" header="0.19685039370078741" footer="0.19685039370078741"/>
  <pageSetup scale="38" orientation="landscape"/>
  <ignoredErrors>
    <ignoredError sqref="B5:B17 G13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98168889431442"/>
    <pageSetUpPr fitToPage="1"/>
  </sheetPr>
  <dimension ref="A1:U26"/>
  <sheetViews>
    <sheetView showGridLines="0" zoomScale="80" zoomScaleNormal="80" workbookViewId="0">
      <selection activeCell="B1" sqref="B1"/>
    </sheetView>
  </sheetViews>
  <sheetFormatPr defaultRowHeight="12" x14ac:dyDescent="0.2"/>
  <cols>
    <col min="1" max="1" width="1.7109375" style="31" customWidth="1"/>
    <col min="2" max="2" width="13.85546875" style="25" customWidth="1"/>
    <col min="3" max="3" width="25.85546875" style="25" bestFit="1" customWidth="1"/>
    <col min="4" max="4" width="38" style="25" customWidth="1"/>
    <col min="5" max="5" width="18" style="25" customWidth="1"/>
    <col min="6" max="6" width="14" style="32" customWidth="1"/>
    <col min="7" max="7" width="22" style="32" customWidth="1"/>
    <col min="8" max="8" width="26.42578125" style="32" bestFit="1" customWidth="1"/>
    <col min="9" max="9" width="12" style="32" customWidth="1"/>
    <col min="10" max="11" width="14" style="32" customWidth="1"/>
    <col min="12" max="12" width="16" style="32" customWidth="1"/>
    <col min="13" max="16" width="14" style="21" customWidth="1"/>
    <col min="17" max="17" width="17.140625" style="50" bestFit="1" customWidth="1"/>
    <col min="18" max="18" width="17.140625" style="21" bestFit="1" customWidth="1"/>
    <col min="19" max="19" width="13.28515625" style="21" customWidth="1"/>
    <col min="20" max="20" width="12" style="21" customWidth="1"/>
    <col min="21" max="21" width="14" style="21" customWidth="1"/>
    <col min="22" max="22" width="9.140625" style="21" customWidth="1"/>
    <col min="23" max="16384" width="9.140625" style="21"/>
  </cols>
  <sheetData>
    <row r="1" spans="1:21" s="27" customFormat="1" ht="23.25" customHeight="1" x14ac:dyDescent="0.35">
      <c r="A1" s="6" t="s">
        <v>377</v>
      </c>
      <c r="B1" s="33"/>
      <c r="C1" s="34"/>
      <c r="D1" s="33"/>
      <c r="E1" s="33"/>
      <c r="F1" s="33"/>
      <c r="G1" s="33"/>
      <c r="H1" s="33"/>
      <c r="I1" s="33"/>
      <c r="J1" s="33"/>
      <c r="K1" s="33"/>
      <c r="L1" s="33"/>
      <c r="M1" s="2"/>
      <c r="N1" s="2"/>
      <c r="O1" s="2"/>
      <c r="P1" s="2"/>
      <c r="Q1" s="48"/>
      <c r="R1" s="2"/>
      <c r="S1" s="2"/>
      <c r="T1" s="2"/>
    </row>
    <row r="2" spans="1:21" s="26" customFormat="1" ht="15" customHeight="1" x14ac:dyDescent="0.2">
      <c r="A2" s="35"/>
      <c r="B2" s="7" t="s">
        <v>378</v>
      </c>
      <c r="C2" s="36"/>
      <c r="D2" s="35"/>
      <c r="E2" s="35"/>
      <c r="F2" s="35"/>
      <c r="G2" s="35"/>
      <c r="H2" s="35"/>
      <c r="I2" s="35"/>
      <c r="J2" s="35"/>
      <c r="K2" s="35"/>
      <c r="L2" s="35"/>
      <c r="Q2" s="49"/>
    </row>
    <row r="4" spans="1:21" s="31" customFormat="1" ht="32.1" customHeight="1" x14ac:dyDescent="0.25">
      <c r="B4" s="1" t="s">
        <v>379</v>
      </c>
      <c r="C4" s="14" t="s">
        <v>380</v>
      </c>
      <c r="D4" s="14" t="s">
        <v>149</v>
      </c>
      <c r="E4" s="14" t="s">
        <v>381</v>
      </c>
      <c r="F4" s="14" t="s">
        <v>382</v>
      </c>
      <c r="G4" s="14" t="s">
        <v>383</v>
      </c>
      <c r="H4" s="14" t="s">
        <v>384</v>
      </c>
      <c r="I4" s="14" t="s">
        <v>385</v>
      </c>
      <c r="J4" s="14" t="s">
        <v>386</v>
      </c>
      <c r="K4" s="1" t="s">
        <v>312</v>
      </c>
      <c r="L4" s="14" t="s">
        <v>311</v>
      </c>
      <c r="M4" s="14" t="s">
        <v>146</v>
      </c>
      <c r="N4" s="14" t="s">
        <v>171</v>
      </c>
      <c r="O4" s="14" t="s">
        <v>387</v>
      </c>
      <c r="P4" s="1" t="s">
        <v>388</v>
      </c>
      <c r="Q4" s="14" t="s">
        <v>389</v>
      </c>
      <c r="R4" s="14" t="s">
        <v>310</v>
      </c>
      <c r="S4" s="1" t="s">
        <v>156</v>
      </c>
      <c r="T4" s="1" t="s">
        <v>390</v>
      </c>
      <c r="U4" s="1" t="s">
        <v>391</v>
      </c>
    </row>
    <row r="5" spans="1:21" s="31" customFormat="1" x14ac:dyDescent="0.25">
      <c r="B5" s="45" t="s">
        <v>62</v>
      </c>
      <c r="C5" s="30" t="s">
        <v>57</v>
      </c>
      <c r="D5" s="30" t="s">
        <v>392</v>
      </c>
      <c r="E5" s="30" t="s">
        <v>164</v>
      </c>
      <c r="F5" s="30" t="s">
        <v>250</v>
      </c>
      <c r="G5" s="30" t="s">
        <v>393</v>
      </c>
      <c r="H5" s="30" t="s">
        <v>394</v>
      </c>
      <c r="I5" s="30"/>
      <c r="J5" s="30" t="s">
        <v>395</v>
      </c>
      <c r="K5" s="45" t="s">
        <v>396</v>
      </c>
      <c r="L5" s="30"/>
      <c r="M5" s="30"/>
      <c r="N5" s="30"/>
      <c r="O5" s="30"/>
      <c r="P5" s="45"/>
      <c r="Q5" s="30"/>
      <c r="R5" s="30"/>
      <c r="S5" s="45" t="s">
        <v>66</v>
      </c>
      <c r="T5" s="45" t="s">
        <v>69</v>
      </c>
      <c r="U5" s="45" t="s">
        <v>70</v>
      </c>
    </row>
    <row r="6" spans="1:21" s="31" customFormat="1" x14ac:dyDescent="0.25">
      <c r="B6" s="45" t="s">
        <v>330</v>
      </c>
      <c r="C6" s="30" t="s">
        <v>254</v>
      </c>
      <c r="D6" s="30" t="s">
        <v>392</v>
      </c>
      <c r="E6" s="30" t="s">
        <v>164</v>
      </c>
      <c r="F6" s="30" t="s">
        <v>250</v>
      </c>
      <c r="G6" s="30" t="s">
        <v>393</v>
      </c>
      <c r="H6" s="30" t="s">
        <v>394</v>
      </c>
      <c r="I6" s="30"/>
      <c r="J6" s="30" t="s">
        <v>395</v>
      </c>
      <c r="K6" s="45" t="s">
        <v>396</v>
      </c>
      <c r="L6" s="30" t="s">
        <v>397</v>
      </c>
      <c r="M6" s="30"/>
      <c r="N6" s="30" t="s">
        <v>398</v>
      </c>
      <c r="O6" s="30"/>
      <c r="P6" s="45"/>
      <c r="Q6" s="30"/>
      <c r="R6" s="30"/>
      <c r="S6" s="45" t="s">
        <v>66</v>
      </c>
      <c r="T6" s="45" t="s">
        <v>70</v>
      </c>
      <c r="U6" s="45" t="s">
        <v>70</v>
      </c>
    </row>
    <row r="7" spans="1:21" s="31" customFormat="1" x14ac:dyDescent="0.25">
      <c r="B7" s="45" t="s">
        <v>399</v>
      </c>
      <c r="C7" s="30" t="s">
        <v>79</v>
      </c>
      <c r="D7" s="30" t="s">
        <v>392</v>
      </c>
      <c r="E7" s="30" t="s">
        <v>164</v>
      </c>
      <c r="F7" s="30" t="s">
        <v>250</v>
      </c>
      <c r="G7" s="30" t="s">
        <v>393</v>
      </c>
      <c r="H7" s="30" t="s">
        <v>394</v>
      </c>
      <c r="I7" s="30"/>
      <c r="J7" s="30" t="s">
        <v>395</v>
      </c>
      <c r="K7" s="45" t="s">
        <v>334</v>
      </c>
      <c r="L7" s="30" t="s">
        <v>173</v>
      </c>
      <c r="M7" s="30"/>
      <c r="N7" s="30"/>
      <c r="O7" s="30"/>
      <c r="P7" s="45"/>
      <c r="Q7" s="30" t="s">
        <v>398</v>
      </c>
      <c r="R7" s="30" t="s">
        <v>332</v>
      </c>
      <c r="S7" s="45" t="s">
        <v>66</v>
      </c>
      <c r="T7" s="45" t="s">
        <v>70</v>
      </c>
      <c r="U7" s="45" t="s">
        <v>70</v>
      </c>
    </row>
    <row r="8" spans="1:21" s="31" customFormat="1" x14ac:dyDescent="0.25">
      <c r="B8" s="45" t="s">
        <v>336</v>
      </c>
      <c r="C8" s="30" t="s">
        <v>337</v>
      </c>
      <c r="D8" s="30" t="s">
        <v>392</v>
      </c>
      <c r="E8" s="30" t="s">
        <v>164</v>
      </c>
      <c r="F8" s="30" t="s">
        <v>250</v>
      </c>
      <c r="G8" s="30" t="s">
        <v>393</v>
      </c>
      <c r="H8" s="30" t="s">
        <v>394</v>
      </c>
      <c r="I8" s="30"/>
      <c r="J8" s="30" t="s">
        <v>395</v>
      </c>
      <c r="K8" s="45" t="s">
        <v>334</v>
      </c>
      <c r="L8" s="30" t="s">
        <v>173</v>
      </c>
      <c r="M8" s="30"/>
      <c r="N8" s="30"/>
      <c r="O8" s="30"/>
      <c r="P8" s="45"/>
      <c r="Q8" s="30"/>
      <c r="R8" s="30"/>
      <c r="S8" s="45" t="s">
        <v>66</v>
      </c>
      <c r="T8" s="45" t="s">
        <v>69</v>
      </c>
      <c r="U8" s="45" t="s">
        <v>70</v>
      </c>
    </row>
    <row r="9" spans="1:21" s="31" customFormat="1" x14ac:dyDescent="0.25">
      <c r="B9" s="45" t="s">
        <v>400</v>
      </c>
      <c r="C9" s="30" t="s">
        <v>267</v>
      </c>
      <c r="D9" s="30" t="s">
        <v>392</v>
      </c>
      <c r="E9" s="30" t="s">
        <v>183</v>
      </c>
      <c r="F9" s="30" t="s">
        <v>270</v>
      </c>
      <c r="G9" s="30" t="s">
        <v>393</v>
      </c>
      <c r="H9" s="30" t="s">
        <v>394</v>
      </c>
      <c r="I9" s="30"/>
      <c r="J9" s="30" t="s">
        <v>395</v>
      </c>
      <c r="K9" s="45" t="s">
        <v>396</v>
      </c>
      <c r="L9" s="30" t="s">
        <v>397</v>
      </c>
      <c r="M9" s="30"/>
      <c r="N9" s="30"/>
      <c r="O9" s="30" t="s">
        <v>398</v>
      </c>
      <c r="P9" s="45"/>
      <c r="Q9" s="30"/>
      <c r="R9" s="30"/>
      <c r="S9" s="45" t="s">
        <v>66</v>
      </c>
      <c r="T9" s="45" t="s">
        <v>70</v>
      </c>
      <c r="U9" s="45" t="s">
        <v>70</v>
      </c>
    </row>
    <row r="10" spans="1:21" s="31" customFormat="1" x14ac:dyDescent="0.25">
      <c r="B10" s="45" t="s">
        <v>344</v>
      </c>
      <c r="C10" s="30" t="s">
        <v>401</v>
      </c>
      <c r="D10" s="30" t="s">
        <v>392</v>
      </c>
      <c r="E10" s="30" t="s">
        <v>183</v>
      </c>
      <c r="F10" s="30" t="s">
        <v>270</v>
      </c>
      <c r="G10" s="30" t="s">
        <v>393</v>
      </c>
      <c r="H10" s="30" t="s">
        <v>394</v>
      </c>
      <c r="I10" s="30"/>
      <c r="J10" s="30" t="s">
        <v>395</v>
      </c>
      <c r="K10" s="45" t="s">
        <v>396</v>
      </c>
      <c r="L10" s="30" t="s">
        <v>397</v>
      </c>
      <c r="M10" s="30"/>
      <c r="N10" s="30"/>
      <c r="O10" s="30"/>
      <c r="P10" s="45"/>
      <c r="Q10" s="30"/>
      <c r="R10" s="30"/>
      <c r="S10" s="45" t="s">
        <v>66</v>
      </c>
      <c r="T10" s="45" t="s">
        <v>69</v>
      </c>
      <c r="U10" s="45" t="s">
        <v>70</v>
      </c>
    </row>
    <row r="11" spans="1:21" s="31" customFormat="1" x14ac:dyDescent="0.25">
      <c r="B11" s="45" t="s">
        <v>402</v>
      </c>
      <c r="C11" s="30" t="s">
        <v>95</v>
      </c>
      <c r="D11" s="30" t="s">
        <v>392</v>
      </c>
      <c r="E11" s="30" t="s">
        <v>272</v>
      </c>
      <c r="F11" s="30" t="s">
        <v>270</v>
      </c>
      <c r="G11" s="30" t="s">
        <v>393</v>
      </c>
      <c r="H11" s="30" t="s">
        <v>394</v>
      </c>
      <c r="I11" s="30"/>
      <c r="J11" s="30" t="s">
        <v>395</v>
      </c>
      <c r="K11" s="45"/>
      <c r="L11" s="30"/>
      <c r="M11" s="30"/>
      <c r="N11" s="30"/>
      <c r="O11" s="30"/>
      <c r="P11" s="45"/>
      <c r="Q11" s="30"/>
      <c r="R11" s="30"/>
      <c r="S11" s="45" t="s">
        <v>66</v>
      </c>
      <c r="T11" s="45" t="s">
        <v>69</v>
      </c>
      <c r="U11" s="45" t="s">
        <v>69</v>
      </c>
    </row>
    <row r="12" spans="1:21" s="31" customFormat="1" x14ac:dyDescent="0.25">
      <c r="B12" s="45" t="s">
        <v>403</v>
      </c>
      <c r="C12" s="30" t="s">
        <v>404</v>
      </c>
      <c r="D12" s="30" t="s">
        <v>392</v>
      </c>
      <c r="E12" s="30" t="s">
        <v>272</v>
      </c>
      <c r="F12" s="30" t="s">
        <v>270</v>
      </c>
      <c r="G12" s="30" t="s">
        <v>393</v>
      </c>
      <c r="H12" s="30" t="s">
        <v>394</v>
      </c>
      <c r="I12" s="30"/>
      <c r="J12" s="30" t="s">
        <v>395</v>
      </c>
      <c r="K12" s="45"/>
      <c r="L12" s="30"/>
      <c r="M12" s="30"/>
      <c r="N12" s="30"/>
      <c r="O12" s="30"/>
      <c r="P12" s="45"/>
      <c r="Q12" s="30"/>
      <c r="R12" s="30"/>
      <c r="S12" s="45" t="s">
        <v>66</v>
      </c>
      <c r="T12" s="45" t="s">
        <v>69</v>
      </c>
      <c r="U12" s="45" t="s">
        <v>69</v>
      </c>
    </row>
    <row r="13" spans="1:21" s="31" customFormat="1" x14ac:dyDescent="0.25">
      <c r="B13" s="45" t="s">
        <v>355</v>
      </c>
      <c r="C13" s="30" t="s">
        <v>352</v>
      </c>
      <c r="D13" s="30" t="s">
        <v>405</v>
      </c>
      <c r="E13" s="30" t="s">
        <v>193</v>
      </c>
      <c r="F13" s="30" t="s">
        <v>270</v>
      </c>
      <c r="G13" s="30" t="s">
        <v>393</v>
      </c>
      <c r="H13" s="30" t="s">
        <v>406</v>
      </c>
      <c r="I13" s="30" t="s">
        <v>403</v>
      </c>
      <c r="J13" s="30" t="s">
        <v>395</v>
      </c>
      <c r="K13" s="45" t="s">
        <v>396</v>
      </c>
      <c r="L13" s="30" t="s">
        <v>407</v>
      </c>
      <c r="M13" s="30" t="s">
        <v>280</v>
      </c>
      <c r="N13" s="30" t="s">
        <v>398</v>
      </c>
      <c r="O13" s="30"/>
      <c r="P13" s="45" t="s">
        <v>408</v>
      </c>
      <c r="Q13" s="30" t="s">
        <v>332</v>
      </c>
      <c r="R13" s="30" t="s">
        <v>281</v>
      </c>
      <c r="S13" s="45" t="s">
        <v>66</v>
      </c>
      <c r="T13" s="45" t="s">
        <v>70</v>
      </c>
      <c r="U13" s="45" t="s">
        <v>70</v>
      </c>
    </row>
    <row r="14" spans="1:21" s="31" customFormat="1" x14ac:dyDescent="0.25">
      <c r="B14" s="45" t="s">
        <v>409</v>
      </c>
      <c r="C14" s="30" t="s">
        <v>284</v>
      </c>
      <c r="D14" s="30" t="s">
        <v>405</v>
      </c>
      <c r="E14" s="30" t="s">
        <v>197</v>
      </c>
      <c r="F14" s="30" t="s">
        <v>250</v>
      </c>
      <c r="G14" s="30" t="s">
        <v>393</v>
      </c>
      <c r="H14" s="30" t="s">
        <v>406</v>
      </c>
      <c r="I14" s="30" t="s">
        <v>403</v>
      </c>
      <c r="J14" s="30" t="s">
        <v>395</v>
      </c>
      <c r="K14" s="45" t="s">
        <v>334</v>
      </c>
      <c r="L14" s="30" t="s">
        <v>173</v>
      </c>
      <c r="M14" s="30"/>
      <c r="N14" s="30"/>
      <c r="O14" s="30"/>
      <c r="P14" s="45"/>
      <c r="Q14" s="30" t="s">
        <v>332</v>
      </c>
      <c r="R14" s="30" t="s">
        <v>335</v>
      </c>
      <c r="S14" s="45" t="s">
        <v>66</v>
      </c>
      <c r="T14" s="45" t="s">
        <v>70</v>
      </c>
      <c r="U14" s="45" t="s">
        <v>70</v>
      </c>
    </row>
    <row r="15" spans="1:21" s="31" customFormat="1" x14ac:dyDescent="0.25">
      <c r="B15" s="45" t="s">
        <v>410</v>
      </c>
      <c r="C15" s="30" t="s">
        <v>115</v>
      </c>
      <c r="D15" s="30" t="s">
        <v>405</v>
      </c>
      <c r="E15" s="30" t="s">
        <v>197</v>
      </c>
      <c r="F15" s="30" t="s">
        <v>250</v>
      </c>
      <c r="G15" s="30" t="s">
        <v>393</v>
      </c>
      <c r="H15" s="30" t="s">
        <v>406</v>
      </c>
      <c r="I15" s="30" t="s">
        <v>403</v>
      </c>
      <c r="J15" s="30" t="s">
        <v>395</v>
      </c>
      <c r="K15" s="45" t="s">
        <v>396</v>
      </c>
      <c r="L15" s="30" t="s">
        <v>173</v>
      </c>
      <c r="M15" s="30"/>
      <c r="N15" s="30"/>
      <c r="O15" s="30"/>
      <c r="P15" s="45" t="s">
        <v>408</v>
      </c>
      <c r="Q15" s="30"/>
      <c r="R15" s="30"/>
      <c r="S15" s="45" t="s">
        <v>66</v>
      </c>
      <c r="T15" s="45" t="s">
        <v>70</v>
      </c>
      <c r="U15" s="45" t="s">
        <v>70</v>
      </c>
    </row>
    <row r="16" spans="1:21" s="31" customFormat="1" x14ac:dyDescent="0.25">
      <c r="B16" s="45" t="s">
        <v>411</v>
      </c>
      <c r="C16" s="30" t="s">
        <v>412</v>
      </c>
      <c r="D16" s="30" t="s">
        <v>405</v>
      </c>
      <c r="E16" s="30" t="s">
        <v>197</v>
      </c>
      <c r="F16" s="30" t="s">
        <v>250</v>
      </c>
      <c r="G16" s="30" t="s">
        <v>393</v>
      </c>
      <c r="H16" s="30" t="s">
        <v>406</v>
      </c>
      <c r="I16" s="30" t="s">
        <v>403</v>
      </c>
      <c r="J16" s="30" t="s">
        <v>395</v>
      </c>
      <c r="K16" s="45" t="s">
        <v>396</v>
      </c>
      <c r="L16" s="30" t="s">
        <v>413</v>
      </c>
      <c r="M16" s="30" t="s">
        <v>296</v>
      </c>
      <c r="N16" s="30"/>
      <c r="O16" s="30" t="s">
        <v>408</v>
      </c>
      <c r="P16" s="45"/>
      <c r="Q16" s="30"/>
      <c r="R16" s="30" t="s">
        <v>335</v>
      </c>
      <c r="S16" s="45" t="s">
        <v>66</v>
      </c>
      <c r="T16" s="45" t="s">
        <v>70</v>
      </c>
      <c r="U16" s="45" t="s">
        <v>70</v>
      </c>
    </row>
    <row r="17" spans="2:21" s="31" customFormat="1" x14ac:dyDescent="0.25">
      <c r="B17" s="45" t="s">
        <v>366</v>
      </c>
      <c r="C17" s="30" t="s">
        <v>132</v>
      </c>
      <c r="D17" s="30" t="s">
        <v>405</v>
      </c>
      <c r="E17" s="30" t="s">
        <v>193</v>
      </c>
      <c r="F17" s="30" t="s">
        <v>270</v>
      </c>
      <c r="G17" s="30" t="s">
        <v>393</v>
      </c>
      <c r="H17" s="30" t="s">
        <v>406</v>
      </c>
      <c r="I17" s="30" t="s">
        <v>403</v>
      </c>
      <c r="J17" s="30" t="s">
        <v>395</v>
      </c>
      <c r="K17" s="45"/>
      <c r="L17" s="30" t="s">
        <v>397</v>
      </c>
      <c r="M17" s="30"/>
      <c r="N17" s="30"/>
      <c r="O17" s="30"/>
      <c r="P17" s="45"/>
      <c r="Q17" s="30"/>
      <c r="R17" s="30"/>
      <c r="S17" s="45" t="s">
        <v>66</v>
      </c>
      <c r="T17" s="45" t="s">
        <v>69</v>
      </c>
      <c r="U17" s="45" t="s">
        <v>69</v>
      </c>
    </row>
    <row r="18" spans="2:21" s="31" customFormat="1" x14ac:dyDescent="0.25">
      <c r="B18" s="45" t="s">
        <v>414</v>
      </c>
      <c r="C18" s="30" t="s">
        <v>415</v>
      </c>
      <c r="D18" s="30" t="s">
        <v>416</v>
      </c>
      <c r="E18" s="30" t="s">
        <v>417</v>
      </c>
      <c r="F18" s="30" t="s">
        <v>250</v>
      </c>
      <c r="G18" s="30" t="s">
        <v>393</v>
      </c>
      <c r="H18" s="30" t="s">
        <v>394</v>
      </c>
      <c r="I18" s="30"/>
      <c r="J18" s="30" t="s">
        <v>395</v>
      </c>
      <c r="K18" s="45" t="s">
        <v>396</v>
      </c>
      <c r="L18" s="30" t="s">
        <v>173</v>
      </c>
      <c r="M18" s="30"/>
      <c r="N18" s="30"/>
      <c r="O18" s="30"/>
      <c r="P18" s="45"/>
      <c r="Q18" s="30"/>
      <c r="R18" s="30"/>
      <c r="S18" s="45" t="s">
        <v>66</v>
      </c>
      <c r="T18" s="45" t="s">
        <v>70</v>
      </c>
      <c r="U18" s="45" t="s">
        <v>70</v>
      </c>
    </row>
    <row r="19" spans="2:21" s="31" customFormat="1" x14ac:dyDescent="0.25">
      <c r="B19" s="45" t="s">
        <v>62</v>
      </c>
      <c r="C19" s="30" t="s">
        <v>418</v>
      </c>
      <c r="D19" s="30" t="s">
        <v>392</v>
      </c>
      <c r="E19" s="30" t="s">
        <v>164</v>
      </c>
      <c r="F19" s="30" t="s">
        <v>250</v>
      </c>
      <c r="G19" s="30" t="s">
        <v>393</v>
      </c>
      <c r="H19" s="30" t="s">
        <v>394</v>
      </c>
      <c r="I19" s="30"/>
      <c r="J19" s="30" t="s">
        <v>419</v>
      </c>
      <c r="K19" s="45" t="s">
        <v>373</v>
      </c>
      <c r="L19" s="30"/>
      <c r="M19" s="30"/>
      <c r="N19" s="30"/>
      <c r="O19" s="30"/>
      <c r="P19" s="45"/>
      <c r="Q19" s="30"/>
      <c r="R19" s="30"/>
      <c r="S19" s="45" t="s">
        <v>209</v>
      </c>
      <c r="T19" s="45" t="s">
        <v>69</v>
      </c>
      <c r="U19" s="45" t="s">
        <v>70</v>
      </c>
    </row>
    <row r="20" spans="2:21" x14ac:dyDescent="0.2">
      <c r="M20" s="47"/>
      <c r="N20" s="47"/>
      <c r="O20" s="47"/>
      <c r="P20" s="47"/>
      <c r="Q20" s="28"/>
      <c r="R20" s="47"/>
      <c r="S20" s="47"/>
      <c r="T20" s="47"/>
      <c r="U20" s="47"/>
    </row>
    <row r="21" spans="2:21" x14ac:dyDescent="0.2">
      <c r="M21" s="47"/>
      <c r="N21" s="47"/>
      <c r="O21" s="47"/>
      <c r="P21" s="47"/>
      <c r="Q21" s="28"/>
      <c r="R21" s="47"/>
      <c r="S21" s="47"/>
      <c r="T21" s="47"/>
      <c r="U21" s="47"/>
    </row>
    <row r="22" spans="2:21" x14ac:dyDescent="0.2">
      <c r="M22" s="47"/>
      <c r="N22" s="47"/>
      <c r="O22" s="47"/>
      <c r="P22" s="47"/>
      <c r="Q22" s="28"/>
      <c r="R22" s="47"/>
      <c r="S22" s="47"/>
      <c r="T22" s="47"/>
      <c r="U22" s="47"/>
    </row>
    <row r="23" spans="2:21" x14ac:dyDescent="0.2">
      <c r="M23" s="47"/>
      <c r="N23" s="47"/>
      <c r="O23" s="47"/>
      <c r="P23" s="47"/>
      <c r="Q23" s="28"/>
      <c r="R23" s="47"/>
      <c r="S23" s="47"/>
      <c r="T23" s="47"/>
      <c r="U23" s="47"/>
    </row>
    <row r="24" spans="2:21" x14ac:dyDescent="0.2">
      <c r="M24" s="47"/>
      <c r="N24" s="47"/>
      <c r="O24" s="47"/>
      <c r="P24" s="47"/>
      <c r="Q24" s="28"/>
      <c r="R24" s="47"/>
      <c r="S24" s="47"/>
      <c r="T24" s="47"/>
      <c r="U24" s="47"/>
    </row>
    <row r="25" spans="2:21" x14ac:dyDescent="0.2">
      <c r="M25" s="47"/>
      <c r="N25" s="47"/>
      <c r="O25" s="47"/>
      <c r="P25" s="47"/>
      <c r="Q25" s="28"/>
      <c r="R25" s="47"/>
      <c r="S25" s="47"/>
      <c r="T25" s="47"/>
      <c r="U25" s="47"/>
    </row>
    <row r="26" spans="2:21" x14ac:dyDescent="0.2">
      <c r="M26" s="47"/>
      <c r="N26" s="47"/>
      <c r="O26" s="47"/>
      <c r="P26" s="47"/>
      <c r="Q26" s="28"/>
      <c r="R26" s="47"/>
      <c r="S26" s="47"/>
      <c r="T26" s="47"/>
      <c r="U26" s="47"/>
    </row>
  </sheetData>
  <printOptions horizontalCentered="1"/>
  <pageMargins left="0.19685039370078741" right="0.19685039370078741" top="0.39370078740157483" bottom="0.39370078740157483" header="0.19685039370078741" footer="0.19685039370078741"/>
  <pageSetup scale="37" orientation="landscape"/>
  <ignoredErrors>
    <ignoredError sqref="I13:I17 B5:B19" numberStoredAsText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79998168889431442"/>
    <pageSetUpPr fitToPage="1"/>
  </sheetPr>
  <dimension ref="A1:O26"/>
  <sheetViews>
    <sheetView showGridLines="0" zoomScale="80" zoomScaleNormal="80" workbookViewId="0">
      <selection activeCell="B1" sqref="B1"/>
    </sheetView>
  </sheetViews>
  <sheetFormatPr defaultRowHeight="15" x14ac:dyDescent="0.25"/>
  <cols>
    <col min="1" max="1" width="1.7109375" style="5" customWidth="1"/>
    <col min="2" max="2" width="11.42578125" style="17" customWidth="1"/>
    <col min="3" max="3" width="33.5703125" style="17" bestFit="1" customWidth="1"/>
    <col min="4" max="4" width="38" style="17" customWidth="1"/>
    <col min="5" max="5" width="26.42578125" style="17" bestFit="1" customWidth="1"/>
    <col min="6" max="6" width="32.85546875" style="11" bestFit="1" customWidth="1"/>
    <col min="7" max="7" width="13.7109375" style="11" bestFit="1" customWidth="1"/>
    <col min="8" max="8" width="11.28515625" style="11" bestFit="1" customWidth="1"/>
    <col min="9" max="9" width="18.140625" style="11" bestFit="1" customWidth="1"/>
    <col min="10" max="10" width="17.85546875" style="11" customWidth="1"/>
    <col min="11" max="11" width="14" style="11" customWidth="1"/>
    <col min="12" max="12" width="14.140625" style="11" bestFit="1" customWidth="1"/>
    <col min="13" max="13" width="22" customWidth="1"/>
    <col min="14" max="14" width="14" customWidth="1"/>
    <col min="15" max="15" width="10" customWidth="1"/>
  </cols>
  <sheetData>
    <row r="1" spans="1:15" ht="23.25" customHeight="1" x14ac:dyDescent="0.25">
      <c r="A1" s="6" t="s">
        <v>420</v>
      </c>
      <c r="B1" s="3"/>
      <c r="C1" s="12"/>
      <c r="D1" s="3"/>
      <c r="E1" s="3"/>
      <c r="F1" s="3"/>
      <c r="G1" s="8"/>
      <c r="H1" s="8"/>
      <c r="I1" s="3"/>
      <c r="J1" s="3"/>
      <c r="K1" s="3"/>
      <c r="L1" s="3"/>
    </row>
    <row r="2" spans="1:15" ht="15.75" customHeight="1" x14ac:dyDescent="0.25">
      <c r="A2" s="4"/>
      <c r="B2" s="7" t="s">
        <v>421</v>
      </c>
      <c r="C2" s="13"/>
      <c r="D2" s="4"/>
      <c r="E2" s="4"/>
      <c r="F2" s="4"/>
      <c r="G2" s="9"/>
      <c r="H2" s="9"/>
      <c r="I2" s="4"/>
      <c r="J2" s="4"/>
      <c r="K2" s="4"/>
      <c r="L2" s="4"/>
    </row>
    <row r="4" spans="1:15" s="31" customFormat="1" ht="32.1" customHeight="1" x14ac:dyDescent="0.25">
      <c r="B4" s="14" t="s">
        <v>422</v>
      </c>
      <c r="C4" s="14" t="s">
        <v>221</v>
      </c>
      <c r="D4" s="14" t="s">
        <v>306</v>
      </c>
      <c r="E4" s="14" t="s">
        <v>423</v>
      </c>
      <c r="F4" s="14" t="s">
        <v>307</v>
      </c>
      <c r="G4" s="1" t="s">
        <v>309</v>
      </c>
      <c r="H4" s="1" t="s">
        <v>424</v>
      </c>
      <c r="I4" s="14" t="s">
        <v>425</v>
      </c>
      <c r="J4" s="14" t="s">
        <v>426</v>
      </c>
      <c r="K4" s="1" t="s">
        <v>156</v>
      </c>
      <c r="L4" s="1" t="s">
        <v>427</v>
      </c>
      <c r="M4" s="14" t="s">
        <v>428</v>
      </c>
      <c r="N4" s="1" t="s">
        <v>429</v>
      </c>
      <c r="O4" s="1" t="s">
        <v>383</v>
      </c>
    </row>
    <row r="5" spans="1:15" s="31" customFormat="1" ht="12" customHeight="1" x14ac:dyDescent="0.25">
      <c r="B5" s="45" t="s">
        <v>242</v>
      </c>
      <c r="C5" s="30" t="s">
        <v>430</v>
      </c>
      <c r="D5" s="30" t="s">
        <v>321</v>
      </c>
      <c r="E5" s="30" t="s">
        <v>431</v>
      </c>
      <c r="F5" s="30" t="s">
        <v>432</v>
      </c>
      <c r="G5" s="45"/>
      <c r="H5" s="45" t="s">
        <v>69</v>
      </c>
      <c r="I5" s="30"/>
      <c r="J5" s="30" t="s">
        <v>433</v>
      </c>
      <c r="K5" s="45" t="s">
        <v>66</v>
      </c>
      <c r="L5" s="45" t="s">
        <v>434</v>
      </c>
      <c r="M5" s="45" t="s">
        <v>435</v>
      </c>
      <c r="N5" s="58">
        <v>0</v>
      </c>
      <c r="O5" s="45" t="s">
        <v>393</v>
      </c>
    </row>
    <row r="6" spans="1:15" s="31" customFormat="1" ht="12" customHeight="1" x14ac:dyDescent="0.25">
      <c r="B6" s="45" t="s">
        <v>436</v>
      </c>
      <c r="C6" s="30" t="s">
        <v>437</v>
      </c>
      <c r="D6" s="30" t="s">
        <v>321</v>
      </c>
      <c r="E6" s="30" t="s">
        <v>437</v>
      </c>
      <c r="F6" s="30" t="s">
        <v>438</v>
      </c>
      <c r="G6" s="45"/>
      <c r="H6" s="45" t="s">
        <v>69</v>
      </c>
      <c r="I6" s="30"/>
      <c r="J6" s="30" t="s">
        <v>433</v>
      </c>
      <c r="K6" s="45" t="s">
        <v>66</v>
      </c>
      <c r="L6" s="45" t="s">
        <v>434</v>
      </c>
      <c r="M6" s="45" t="s">
        <v>439</v>
      </c>
      <c r="N6" s="58">
        <v>0</v>
      </c>
      <c r="O6" s="45" t="s">
        <v>393</v>
      </c>
    </row>
    <row r="7" spans="1:15" s="31" customFormat="1" ht="12" customHeight="1" x14ac:dyDescent="0.25">
      <c r="B7" s="45" t="s">
        <v>440</v>
      </c>
      <c r="C7" s="30" t="s">
        <v>254</v>
      </c>
      <c r="D7" s="30" t="s">
        <v>441</v>
      </c>
      <c r="E7" s="30" t="s">
        <v>442</v>
      </c>
      <c r="F7" s="30" t="s">
        <v>443</v>
      </c>
      <c r="G7" s="45"/>
      <c r="H7" s="45" t="s">
        <v>69</v>
      </c>
      <c r="I7" s="30"/>
      <c r="J7" s="30"/>
      <c r="K7" s="45" t="s">
        <v>66</v>
      </c>
      <c r="L7" s="45"/>
      <c r="M7" s="45"/>
      <c r="N7" s="58">
        <v>0</v>
      </c>
      <c r="O7" s="45" t="s">
        <v>393</v>
      </c>
    </row>
    <row r="8" spans="1:15" s="31" customFormat="1" ht="12" customHeight="1" x14ac:dyDescent="0.25">
      <c r="B8" s="45" t="s">
        <v>444</v>
      </c>
      <c r="C8" s="30" t="s">
        <v>445</v>
      </c>
      <c r="D8" s="30" t="s">
        <v>446</v>
      </c>
      <c r="E8" s="30" t="s">
        <v>258</v>
      </c>
      <c r="F8" s="30" t="s">
        <v>447</v>
      </c>
      <c r="G8" s="45"/>
      <c r="H8" s="45" t="s">
        <v>69</v>
      </c>
      <c r="I8" s="30" t="s">
        <v>332</v>
      </c>
      <c r="J8" s="30" t="s">
        <v>448</v>
      </c>
      <c r="K8" s="45" t="s">
        <v>66</v>
      </c>
      <c r="L8" s="45"/>
      <c r="M8" s="45"/>
      <c r="N8" s="58">
        <v>0</v>
      </c>
      <c r="O8" s="45" t="s">
        <v>393</v>
      </c>
    </row>
    <row r="9" spans="1:15" s="31" customFormat="1" ht="12" customHeight="1" x14ac:dyDescent="0.25">
      <c r="B9" s="45" t="s">
        <v>449</v>
      </c>
      <c r="C9" s="30" t="s">
        <v>450</v>
      </c>
      <c r="D9" s="30" t="s">
        <v>446</v>
      </c>
      <c r="E9" s="30" t="s">
        <v>450</v>
      </c>
      <c r="F9" s="30" t="s">
        <v>451</v>
      </c>
      <c r="G9" s="45"/>
      <c r="H9" s="45" t="s">
        <v>69</v>
      </c>
      <c r="I9" s="30"/>
      <c r="J9" s="30" t="s">
        <v>433</v>
      </c>
      <c r="K9" s="45" t="s">
        <v>66</v>
      </c>
      <c r="L9" s="45"/>
      <c r="M9" s="45"/>
      <c r="N9" s="58">
        <v>0</v>
      </c>
      <c r="O9" s="45" t="s">
        <v>393</v>
      </c>
    </row>
    <row r="10" spans="1:15" s="31" customFormat="1" ht="12" customHeight="1" x14ac:dyDescent="0.25">
      <c r="B10" s="45" t="s">
        <v>452</v>
      </c>
      <c r="C10" s="30" t="s">
        <v>453</v>
      </c>
      <c r="D10" s="30" t="s">
        <v>454</v>
      </c>
      <c r="E10" s="30" t="s">
        <v>85</v>
      </c>
      <c r="F10" s="30" t="s">
        <v>455</v>
      </c>
      <c r="G10" s="45"/>
      <c r="H10" s="45" t="s">
        <v>69</v>
      </c>
      <c r="I10" s="30"/>
      <c r="J10" s="30" t="s">
        <v>448</v>
      </c>
      <c r="K10" s="45" t="s">
        <v>66</v>
      </c>
      <c r="L10" s="45"/>
      <c r="M10" s="45"/>
      <c r="N10" s="58">
        <v>0</v>
      </c>
      <c r="O10" s="45" t="s">
        <v>393</v>
      </c>
    </row>
    <row r="11" spans="1:15" s="31" customFormat="1" ht="12" customHeight="1" x14ac:dyDescent="0.25">
      <c r="B11" s="45" t="s">
        <v>456</v>
      </c>
      <c r="C11" s="30" t="s">
        <v>457</v>
      </c>
      <c r="D11" s="30" t="s">
        <v>454</v>
      </c>
      <c r="E11" s="30" t="s">
        <v>458</v>
      </c>
      <c r="F11" s="30" t="s">
        <v>459</v>
      </c>
      <c r="G11" s="45" t="s">
        <v>452</v>
      </c>
      <c r="H11" s="45" t="s">
        <v>70</v>
      </c>
      <c r="I11" s="30"/>
      <c r="J11" s="30" t="s">
        <v>448</v>
      </c>
      <c r="K11" s="45" t="s">
        <v>66</v>
      </c>
      <c r="L11" s="45"/>
      <c r="M11" s="45"/>
      <c r="N11" s="58">
        <v>0</v>
      </c>
      <c r="O11" s="45" t="s">
        <v>393</v>
      </c>
    </row>
    <row r="12" spans="1:15" s="31" customFormat="1" ht="12" customHeight="1" x14ac:dyDescent="0.25">
      <c r="B12" s="45" t="s">
        <v>264</v>
      </c>
      <c r="C12" s="30" t="s">
        <v>267</v>
      </c>
      <c r="D12" s="30" t="s">
        <v>460</v>
      </c>
      <c r="E12" s="30" t="s">
        <v>461</v>
      </c>
      <c r="F12" s="30" t="s">
        <v>462</v>
      </c>
      <c r="G12" s="45"/>
      <c r="H12" s="45" t="s">
        <v>69</v>
      </c>
      <c r="I12" s="30"/>
      <c r="J12" s="30"/>
      <c r="K12" s="45" t="s">
        <v>66</v>
      </c>
      <c r="L12" s="45"/>
      <c r="M12" s="45"/>
      <c r="N12" s="58">
        <v>0</v>
      </c>
      <c r="O12" s="45" t="s">
        <v>393</v>
      </c>
    </row>
    <row r="13" spans="1:15" s="31" customFormat="1" ht="12" customHeight="1" x14ac:dyDescent="0.25">
      <c r="B13" s="45" t="s">
        <v>463</v>
      </c>
      <c r="C13" s="30" t="s">
        <v>464</v>
      </c>
      <c r="D13" s="30" t="s">
        <v>465</v>
      </c>
      <c r="E13" s="30" t="s">
        <v>465</v>
      </c>
      <c r="F13" s="30" t="s">
        <v>466</v>
      </c>
      <c r="G13" s="45"/>
      <c r="H13" s="45" t="s">
        <v>69</v>
      </c>
      <c r="I13" s="30"/>
      <c r="J13" s="30" t="s">
        <v>433</v>
      </c>
      <c r="K13" s="45" t="s">
        <v>66</v>
      </c>
      <c r="L13" s="45"/>
      <c r="M13" s="45" t="s">
        <v>467</v>
      </c>
      <c r="N13" s="58">
        <v>0</v>
      </c>
      <c r="O13" s="45" t="s">
        <v>393</v>
      </c>
    </row>
    <row r="14" spans="1:15" s="31" customFormat="1" ht="12" customHeight="1" x14ac:dyDescent="0.25">
      <c r="B14" s="45" t="s">
        <v>468</v>
      </c>
      <c r="C14" s="30" t="s">
        <v>469</v>
      </c>
      <c r="D14" s="30" t="s">
        <v>470</v>
      </c>
      <c r="E14" s="30" t="s">
        <v>469</v>
      </c>
      <c r="F14" s="30" t="s">
        <v>471</v>
      </c>
      <c r="G14" s="45"/>
      <c r="H14" s="45" t="s">
        <v>69</v>
      </c>
      <c r="I14" s="30"/>
      <c r="J14" s="30"/>
      <c r="K14" s="45" t="s">
        <v>66</v>
      </c>
      <c r="L14" s="45"/>
      <c r="M14" s="45"/>
      <c r="N14" s="58">
        <v>0</v>
      </c>
      <c r="O14" s="45" t="s">
        <v>393</v>
      </c>
    </row>
    <row r="15" spans="1:15" s="31" customFormat="1" ht="12" customHeight="1" x14ac:dyDescent="0.25">
      <c r="B15" s="45" t="s">
        <v>472</v>
      </c>
      <c r="C15" s="30" t="s">
        <v>95</v>
      </c>
      <c r="D15" s="30" t="s">
        <v>272</v>
      </c>
      <c r="E15" s="30" t="s">
        <v>95</v>
      </c>
      <c r="F15" s="30" t="s">
        <v>473</v>
      </c>
      <c r="G15" s="45"/>
      <c r="H15" s="45" t="s">
        <v>69</v>
      </c>
      <c r="I15" s="30"/>
      <c r="J15" s="30"/>
      <c r="K15" s="45" t="s">
        <v>66</v>
      </c>
      <c r="L15" s="45"/>
      <c r="M15" s="45"/>
      <c r="N15" s="58">
        <v>0</v>
      </c>
      <c r="O15" s="45" t="s">
        <v>393</v>
      </c>
    </row>
    <row r="16" spans="1:15" s="31" customFormat="1" ht="12" customHeight="1" x14ac:dyDescent="0.25">
      <c r="B16" s="52" t="s">
        <v>474</v>
      </c>
      <c r="C16" s="51" t="s">
        <v>404</v>
      </c>
      <c r="D16" s="51" t="s">
        <v>272</v>
      </c>
      <c r="E16" s="51" t="s">
        <v>404</v>
      </c>
      <c r="F16" s="51" t="s">
        <v>475</v>
      </c>
      <c r="G16" s="52"/>
      <c r="H16" s="52" t="s">
        <v>69</v>
      </c>
      <c r="I16" s="51"/>
      <c r="J16" s="51"/>
      <c r="K16" s="52" t="s">
        <v>66</v>
      </c>
      <c r="L16" s="52"/>
      <c r="M16" s="52"/>
      <c r="N16" s="59">
        <v>0</v>
      </c>
      <c r="O16" s="52" t="s">
        <v>393</v>
      </c>
    </row>
    <row r="17" spans="2:15" s="31" customFormat="1" ht="12" customHeight="1" x14ac:dyDescent="0.25">
      <c r="B17" s="45" t="s">
        <v>273</v>
      </c>
      <c r="C17" s="30" t="s">
        <v>476</v>
      </c>
      <c r="D17" s="30" t="s">
        <v>278</v>
      </c>
      <c r="E17" s="30" t="s">
        <v>477</v>
      </c>
      <c r="F17" s="30" t="s">
        <v>478</v>
      </c>
      <c r="G17" s="45"/>
      <c r="H17" s="45" t="s">
        <v>69</v>
      </c>
      <c r="I17" s="30" t="s">
        <v>332</v>
      </c>
      <c r="J17" s="30" t="s">
        <v>433</v>
      </c>
      <c r="K17" s="45" t="s">
        <v>66</v>
      </c>
      <c r="L17" s="45" t="s">
        <v>479</v>
      </c>
      <c r="M17" s="45"/>
      <c r="N17" s="58">
        <v>0</v>
      </c>
      <c r="O17" s="45" t="s">
        <v>393</v>
      </c>
    </row>
    <row r="18" spans="2:15" s="31" customFormat="1" ht="12" customHeight="1" x14ac:dyDescent="0.25">
      <c r="B18" s="45" t="s">
        <v>276</v>
      </c>
      <c r="C18" s="30" t="s">
        <v>480</v>
      </c>
      <c r="D18" s="30" t="s">
        <v>278</v>
      </c>
      <c r="E18" s="30" t="s">
        <v>481</v>
      </c>
      <c r="F18" s="30" t="s">
        <v>482</v>
      </c>
      <c r="G18" s="45"/>
      <c r="H18" s="45" t="s">
        <v>69</v>
      </c>
      <c r="I18" s="30" t="s">
        <v>483</v>
      </c>
      <c r="J18" s="30" t="s">
        <v>433</v>
      </c>
      <c r="K18" s="45" t="s">
        <v>66</v>
      </c>
      <c r="L18" s="45" t="s">
        <v>479</v>
      </c>
      <c r="M18" s="45"/>
      <c r="N18" s="58">
        <v>0</v>
      </c>
      <c r="O18" s="45" t="s">
        <v>393</v>
      </c>
    </row>
    <row r="19" spans="2:15" s="31" customFormat="1" ht="12" customHeight="1" x14ac:dyDescent="0.25">
      <c r="B19" s="45" t="s">
        <v>484</v>
      </c>
      <c r="C19" s="30" t="s">
        <v>485</v>
      </c>
      <c r="D19" s="30" t="s">
        <v>278</v>
      </c>
      <c r="E19" s="30" t="s">
        <v>486</v>
      </c>
      <c r="F19" s="30" t="s">
        <v>487</v>
      </c>
      <c r="G19" s="45"/>
      <c r="H19" s="45" t="s">
        <v>69</v>
      </c>
      <c r="I19" s="30"/>
      <c r="J19" s="30" t="s">
        <v>433</v>
      </c>
      <c r="K19" s="45" t="s">
        <v>66</v>
      </c>
      <c r="L19" s="45"/>
      <c r="M19" s="45"/>
      <c r="N19" s="58">
        <v>0</v>
      </c>
      <c r="O19" s="45" t="s">
        <v>393</v>
      </c>
    </row>
    <row r="20" spans="2:15" s="31" customFormat="1" ht="12" customHeight="1" x14ac:dyDescent="0.25">
      <c r="B20" s="45" t="s">
        <v>488</v>
      </c>
      <c r="C20" s="30" t="s">
        <v>285</v>
      </c>
      <c r="D20" s="30" t="s">
        <v>285</v>
      </c>
      <c r="E20" s="30" t="s">
        <v>489</v>
      </c>
      <c r="F20" s="30" t="s">
        <v>490</v>
      </c>
      <c r="G20" s="45"/>
      <c r="H20" s="45" t="s">
        <v>69</v>
      </c>
      <c r="I20" s="30" t="s">
        <v>332</v>
      </c>
      <c r="J20" s="30" t="s">
        <v>448</v>
      </c>
      <c r="K20" s="45" t="s">
        <v>66</v>
      </c>
      <c r="L20" s="45"/>
      <c r="M20" s="45"/>
      <c r="N20" s="58">
        <v>0</v>
      </c>
      <c r="O20" s="45" t="s">
        <v>393</v>
      </c>
    </row>
    <row r="21" spans="2:15" s="31" customFormat="1" ht="12" customHeight="1" x14ac:dyDescent="0.25">
      <c r="B21" s="45" t="s">
        <v>491</v>
      </c>
      <c r="C21" s="30" t="s">
        <v>492</v>
      </c>
      <c r="D21" s="30" t="s">
        <v>493</v>
      </c>
      <c r="E21" s="30" t="s">
        <v>492</v>
      </c>
      <c r="F21" s="30" t="s">
        <v>494</v>
      </c>
      <c r="G21" s="45"/>
      <c r="H21" s="45" t="s">
        <v>69</v>
      </c>
      <c r="I21" s="30"/>
      <c r="J21" s="30"/>
      <c r="K21" s="45" t="s">
        <v>66</v>
      </c>
      <c r="L21" s="45"/>
      <c r="M21" s="45"/>
      <c r="N21" s="58">
        <v>0</v>
      </c>
      <c r="O21" s="45" t="s">
        <v>393</v>
      </c>
    </row>
    <row r="22" spans="2:15" s="31" customFormat="1" ht="12" customHeight="1" x14ac:dyDescent="0.25">
      <c r="B22" s="45" t="s">
        <v>288</v>
      </c>
      <c r="C22" s="30" t="s">
        <v>495</v>
      </c>
      <c r="D22" s="30" t="s">
        <v>493</v>
      </c>
      <c r="E22" s="30" t="s">
        <v>492</v>
      </c>
      <c r="F22" s="30" t="s">
        <v>496</v>
      </c>
      <c r="G22" s="45" t="s">
        <v>491</v>
      </c>
      <c r="H22" s="45" t="s">
        <v>70</v>
      </c>
      <c r="I22" s="30"/>
      <c r="J22" s="30" t="s">
        <v>433</v>
      </c>
      <c r="K22" s="45" t="s">
        <v>66</v>
      </c>
      <c r="L22" s="45"/>
      <c r="M22" s="45"/>
      <c r="N22" s="58">
        <v>0</v>
      </c>
      <c r="O22" s="45" t="s">
        <v>393</v>
      </c>
    </row>
    <row r="23" spans="2:15" s="31" customFormat="1" ht="12" customHeight="1" x14ac:dyDescent="0.25">
      <c r="B23" s="45" t="s">
        <v>497</v>
      </c>
      <c r="C23" s="30" t="s">
        <v>498</v>
      </c>
      <c r="D23" s="30" t="s">
        <v>493</v>
      </c>
      <c r="E23" s="30" t="s">
        <v>499</v>
      </c>
      <c r="F23" s="30" t="s">
        <v>500</v>
      </c>
      <c r="G23" s="45"/>
      <c r="H23" s="45" t="s">
        <v>69</v>
      </c>
      <c r="I23" s="30" t="s">
        <v>332</v>
      </c>
      <c r="J23" s="30" t="s">
        <v>433</v>
      </c>
      <c r="K23" s="45" t="s">
        <v>66</v>
      </c>
      <c r="L23" s="45"/>
      <c r="M23" s="45"/>
      <c r="N23" s="58">
        <v>0</v>
      </c>
      <c r="O23" s="45" t="s">
        <v>393</v>
      </c>
    </row>
    <row r="24" spans="2:15" s="31" customFormat="1" ht="12" customHeight="1" x14ac:dyDescent="0.25">
      <c r="B24" s="45" t="s">
        <v>501</v>
      </c>
      <c r="C24" s="30" t="s">
        <v>502</v>
      </c>
      <c r="D24" s="30" t="s">
        <v>493</v>
      </c>
      <c r="E24" s="30" t="s">
        <v>503</v>
      </c>
      <c r="F24" s="30" t="s">
        <v>504</v>
      </c>
      <c r="G24" s="45"/>
      <c r="H24" s="45" t="s">
        <v>69</v>
      </c>
      <c r="I24" s="30"/>
      <c r="J24" s="30" t="s">
        <v>433</v>
      </c>
      <c r="K24" s="45" t="s">
        <v>66</v>
      </c>
      <c r="L24" s="45"/>
      <c r="M24" s="45"/>
      <c r="N24" s="58">
        <v>0</v>
      </c>
      <c r="O24" s="45" t="s">
        <v>393</v>
      </c>
    </row>
    <row r="25" spans="2:15" s="31" customFormat="1" ht="12" customHeight="1" x14ac:dyDescent="0.25">
      <c r="B25" s="45" t="s">
        <v>505</v>
      </c>
      <c r="C25" s="30" t="s">
        <v>132</v>
      </c>
      <c r="D25" s="30" t="s">
        <v>367</v>
      </c>
      <c r="E25" s="30" t="s">
        <v>506</v>
      </c>
      <c r="F25" s="30" t="s">
        <v>507</v>
      </c>
      <c r="G25" s="45"/>
      <c r="H25" s="45" t="s">
        <v>69</v>
      </c>
      <c r="I25" s="30"/>
      <c r="J25" s="30"/>
      <c r="K25" s="45" t="s">
        <v>66</v>
      </c>
      <c r="L25" s="45"/>
      <c r="M25" s="45"/>
      <c r="N25" s="58">
        <v>0</v>
      </c>
      <c r="O25" s="45" t="s">
        <v>393</v>
      </c>
    </row>
    <row r="26" spans="2:15" s="31" customFormat="1" ht="12" customHeight="1" x14ac:dyDescent="0.25">
      <c r="B26" s="45" t="s">
        <v>508</v>
      </c>
      <c r="C26" s="30" t="s">
        <v>509</v>
      </c>
      <c r="D26" s="30" t="s">
        <v>510</v>
      </c>
      <c r="E26" s="30" t="s">
        <v>511</v>
      </c>
      <c r="F26" s="30" t="s">
        <v>512</v>
      </c>
      <c r="G26" s="45"/>
      <c r="H26" s="45" t="s">
        <v>69</v>
      </c>
      <c r="I26" s="30"/>
      <c r="J26" s="30" t="s">
        <v>433</v>
      </c>
      <c r="K26" s="45" t="s">
        <v>66</v>
      </c>
      <c r="L26" s="45"/>
      <c r="M26" s="45"/>
      <c r="N26" s="58">
        <v>0</v>
      </c>
      <c r="O26" s="45" t="s">
        <v>393</v>
      </c>
    </row>
  </sheetData>
  <printOptions horizontalCentered="1"/>
  <pageMargins left="0.19685039370078741" right="0.19685039370078741" top="0.39370078740157483" bottom="0.39370078740157483" header="0.19685039370078741" footer="0.19685039370078741"/>
  <pageSetup scale="47" orientation="landscape"/>
  <ignoredErrors>
    <ignoredError sqref="B5:B26 G11:G23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  <pageSetUpPr fitToPage="1"/>
  </sheetPr>
  <dimension ref="A1:F27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1" sqref="B1"/>
    </sheetView>
  </sheetViews>
  <sheetFormatPr defaultRowHeight="12" x14ac:dyDescent="0.2"/>
  <cols>
    <col min="1" max="1" width="1.7109375" style="21" customWidth="1"/>
    <col min="2" max="2" width="5" style="32" customWidth="1"/>
    <col min="3" max="3" width="22" style="25" customWidth="1"/>
    <col min="4" max="4" width="80" style="25" customWidth="1"/>
    <col min="5" max="5" width="28" style="25" customWidth="1"/>
    <col min="6" max="6" width="10" style="31" customWidth="1"/>
    <col min="7" max="16384" width="9.140625" style="21"/>
  </cols>
  <sheetData>
    <row r="1" spans="1:6" s="27" customFormat="1" ht="23.25" x14ac:dyDescent="0.35">
      <c r="A1" s="6" t="s">
        <v>515</v>
      </c>
      <c r="B1" s="63"/>
      <c r="C1" s="34"/>
      <c r="D1" s="34"/>
      <c r="E1" s="34"/>
      <c r="F1" s="33"/>
    </row>
    <row r="2" spans="1:6" x14ac:dyDescent="0.2">
      <c r="B2" s="66" t="s">
        <v>516</v>
      </c>
    </row>
    <row r="4" spans="1:6" ht="27.95" customHeight="1" x14ac:dyDescent="0.2">
      <c r="B4" s="62" t="s">
        <v>514</v>
      </c>
      <c r="C4" s="67" t="s">
        <v>517</v>
      </c>
      <c r="D4" s="67" t="s">
        <v>518</v>
      </c>
      <c r="E4" s="67" t="s">
        <v>519</v>
      </c>
      <c r="F4" s="62" t="s">
        <v>520</v>
      </c>
    </row>
    <row r="5" spans="1:6" ht="32.1" customHeight="1" x14ac:dyDescent="0.2">
      <c r="B5" s="64">
        <v>1</v>
      </c>
      <c r="C5" s="68" t="s">
        <v>513</v>
      </c>
      <c r="D5" s="69" t="s">
        <v>521</v>
      </c>
      <c r="E5" s="68" t="s">
        <v>522</v>
      </c>
      <c r="F5" s="60" t="s">
        <v>523</v>
      </c>
    </row>
    <row r="6" spans="1:6" ht="32.1" customHeight="1" x14ac:dyDescent="0.2">
      <c r="B6" s="65">
        <v>2</v>
      </c>
      <c r="C6" s="70" t="s">
        <v>513</v>
      </c>
      <c r="D6" s="71" t="s">
        <v>524</v>
      </c>
      <c r="E6" s="70" t="s">
        <v>525</v>
      </c>
      <c r="F6" s="61" t="s">
        <v>523</v>
      </c>
    </row>
    <row r="7" spans="1:6" ht="32.1" customHeight="1" x14ac:dyDescent="0.2">
      <c r="B7" s="64">
        <v>3</v>
      </c>
      <c r="C7" s="68" t="s">
        <v>513</v>
      </c>
      <c r="D7" s="69" t="s">
        <v>526</v>
      </c>
      <c r="E7" s="68" t="s">
        <v>527</v>
      </c>
      <c r="F7" s="60" t="s">
        <v>523</v>
      </c>
    </row>
    <row r="8" spans="1:6" ht="32.1" customHeight="1" x14ac:dyDescent="0.2">
      <c r="B8" s="65">
        <v>4</v>
      </c>
      <c r="C8" s="70" t="s">
        <v>11</v>
      </c>
      <c r="D8" s="71" t="s">
        <v>528</v>
      </c>
      <c r="E8" s="70" t="s">
        <v>529</v>
      </c>
      <c r="F8" s="61" t="s">
        <v>523</v>
      </c>
    </row>
    <row r="9" spans="1:6" ht="32.1" customHeight="1" x14ac:dyDescent="0.2">
      <c r="B9" s="64">
        <v>5</v>
      </c>
      <c r="C9" s="68" t="s">
        <v>11</v>
      </c>
      <c r="D9" s="69" t="s">
        <v>530</v>
      </c>
      <c r="E9" s="68" t="s">
        <v>531</v>
      </c>
      <c r="F9" s="60" t="s">
        <v>523</v>
      </c>
    </row>
    <row r="10" spans="1:6" ht="32.1" customHeight="1" x14ac:dyDescent="0.2">
      <c r="B10" s="65">
        <v>6</v>
      </c>
      <c r="C10" s="70" t="s">
        <v>11</v>
      </c>
      <c r="D10" s="71" t="s">
        <v>532</v>
      </c>
      <c r="E10" s="70" t="s">
        <v>533</v>
      </c>
      <c r="F10" s="61" t="s">
        <v>523</v>
      </c>
    </row>
    <row r="11" spans="1:6" ht="32.1" customHeight="1" x14ac:dyDescent="0.2">
      <c r="B11" s="64">
        <v>7</v>
      </c>
      <c r="C11" s="68" t="s">
        <v>11</v>
      </c>
      <c r="D11" s="69" t="s">
        <v>534</v>
      </c>
      <c r="E11" s="68" t="s">
        <v>533</v>
      </c>
      <c r="F11" s="60" t="s">
        <v>523</v>
      </c>
    </row>
    <row r="12" spans="1:6" ht="32.1" customHeight="1" x14ac:dyDescent="0.2">
      <c r="B12" s="65">
        <v>8</v>
      </c>
      <c r="C12" s="70" t="s">
        <v>16</v>
      </c>
      <c r="D12" s="71" t="s">
        <v>535</v>
      </c>
      <c r="E12" s="70" t="s">
        <v>536</v>
      </c>
      <c r="F12" s="61" t="s">
        <v>523</v>
      </c>
    </row>
    <row r="13" spans="1:6" ht="32.1" customHeight="1" x14ac:dyDescent="0.2">
      <c r="B13" s="64">
        <v>9</v>
      </c>
      <c r="C13" s="68" t="s">
        <v>16</v>
      </c>
      <c r="D13" s="69" t="s">
        <v>537</v>
      </c>
      <c r="E13" s="68" t="s">
        <v>538</v>
      </c>
      <c r="F13" s="60" t="s">
        <v>523</v>
      </c>
    </row>
    <row r="14" spans="1:6" ht="32.1" customHeight="1" x14ac:dyDescent="0.2">
      <c r="B14" s="65">
        <v>10</v>
      </c>
      <c r="C14" s="70" t="s">
        <v>16</v>
      </c>
      <c r="D14" s="71" t="s">
        <v>539</v>
      </c>
      <c r="E14" s="70" t="s">
        <v>540</v>
      </c>
      <c r="F14" s="61" t="s">
        <v>523</v>
      </c>
    </row>
    <row r="15" spans="1:6" ht="32.1" customHeight="1" x14ac:dyDescent="0.2">
      <c r="B15" s="64">
        <v>11</v>
      </c>
      <c r="C15" s="68" t="s">
        <v>16</v>
      </c>
      <c r="D15" s="69" t="s">
        <v>541</v>
      </c>
      <c r="E15" s="68" t="s">
        <v>542</v>
      </c>
      <c r="F15" s="60" t="s">
        <v>523</v>
      </c>
    </row>
    <row r="16" spans="1:6" ht="32.1" customHeight="1" x14ac:dyDescent="0.2">
      <c r="B16" s="65">
        <v>12</v>
      </c>
      <c r="C16" s="70" t="s">
        <v>16</v>
      </c>
      <c r="D16" s="71" t="s">
        <v>543</v>
      </c>
      <c r="E16" s="70" t="s">
        <v>544</v>
      </c>
      <c r="F16" s="61" t="s">
        <v>523</v>
      </c>
    </row>
    <row r="17" spans="2:6" ht="32.1" customHeight="1" x14ac:dyDescent="0.2">
      <c r="B17" s="64">
        <v>13</v>
      </c>
      <c r="C17" s="68" t="s">
        <v>545</v>
      </c>
      <c r="D17" s="69" t="s">
        <v>546</v>
      </c>
      <c r="E17" s="68" t="s">
        <v>547</v>
      </c>
      <c r="F17" s="60" t="s">
        <v>523</v>
      </c>
    </row>
    <row r="18" spans="2:6" ht="32.1" customHeight="1" x14ac:dyDescent="0.2">
      <c r="B18" s="65">
        <v>14</v>
      </c>
      <c r="C18" s="70" t="s">
        <v>21</v>
      </c>
      <c r="D18" s="71" t="s">
        <v>548</v>
      </c>
      <c r="E18" s="70" t="s">
        <v>549</v>
      </c>
      <c r="F18" s="61" t="s">
        <v>523</v>
      </c>
    </row>
    <row r="19" spans="2:6" ht="32.1" customHeight="1" x14ac:dyDescent="0.2">
      <c r="B19" s="64">
        <v>15</v>
      </c>
      <c r="C19" s="68" t="s">
        <v>21</v>
      </c>
      <c r="D19" s="69" t="s">
        <v>550</v>
      </c>
      <c r="E19" s="68" t="s">
        <v>551</v>
      </c>
      <c r="F19" s="60" t="s">
        <v>523</v>
      </c>
    </row>
    <row r="20" spans="2:6" ht="32.1" customHeight="1" x14ac:dyDescent="0.2">
      <c r="B20" s="65">
        <v>16</v>
      </c>
      <c r="C20" s="70" t="s">
        <v>21</v>
      </c>
      <c r="D20" s="71" t="s">
        <v>552</v>
      </c>
      <c r="E20" s="70" t="s">
        <v>549</v>
      </c>
      <c r="F20" s="61" t="s">
        <v>523</v>
      </c>
    </row>
    <row r="21" spans="2:6" ht="32.1" customHeight="1" x14ac:dyDescent="0.2">
      <c r="B21" s="64">
        <v>17</v>
      </c>
      <c r="C21" s="68" t="s">
        <v>21</v>
      </c>
      <c r="D21" s="69" t="s">
        <v>553</v>
      </c>
      <c r="E21" s="68" t="s">
        <v>554</v>
      </c>
      <c r="F21" s="60" t="s">
        <v>523</v>
      </c>
    </row>
    <row r="22" spans="2:6" ht="32.1" customHeight="1" x14ac:dyDescent="0.2">
      <c r="B22" s="65">
        <v>18</v>
      </c>
      <c r="C22" s="70" t="s">
        <v>21</v>
      </c>
      <c r="D22" s="71" t="s">
        <v>555</v>
      </c>
      <c r="E22" s="70" t="s">
        <v>556</v>
      </c>
      <c r="F22" s="61" t="s">
        <v>523</v>
      </c>
    </row>
    <row r="23" spans="2:6" ht="32.1" customHeight="1" x14ac:dyDescent="0.2">
      <c r="B23" s="64">
        <v>19</v>
      </c>
      <c r="C23" s="68" t="s">
        <v>21</v>
      </c>
      <c r="D23" s="69" t="s">
        <v>557</v>
      </c>
      <c r="E23" s="68" t="s">
        <v>558</v>
      </c>
      <c r="F23" s="60" t="s">
        <v>523</v>
      </c>
    </row>
    <row r="24" spans="2:6" ht="32.1" customHeight="1" x14ac:dyDescent="0.2">
      <c r="B24" s="65">
        <v>20</v>
      </c>
      <c r="C24" s="70" t="s">
        <v>26</v>
      </c>
      <c r="D24" s="71" t="s">
        <v>559</v>
      </c>
      <c r="E24" s="70" t="s">
        <v>560</v>
      </c>
      <c r="F24" s="61" t="s">
        <v>523</v>
      </c>
    </row>
    <row r="25" spans="2:6" ht="32.1" customHeight="1" x14ac:dyDescent="0.2">
      <c r="B25" s="64">
        <v>21</v>
      </c>
      <c r="C25" s="68" t="s">
        <v>26</v>
      </c>
      <c r="D25" s="69" t="s">
        <v>561</v>
      </c>
      <c r="E25" s="68" t="s">
        <v>562</v>
      </c>
      <c r="F25" s="60" t="s">
        <v>523</v>
      </c>
    </row>
    <row r="26" spans="2:6" ht="32.1" customHeight="1" x14ac:dyDescent="0.2">
      <c r="B26" s="65">
        <v>22</v>
      </c>
      <c r="C26" s="70" t="s">
        <v>30</v>
      </c>
      <c r="D26" s="71" t="s">
        <v>563</v>
      </c>
      <c r="E26" s="70" t="s">
        <v>564</v>
      </c>
      <c r="F26" s="61" t="s">
        <v>523</v>
      </c>
    </row>
    <row r="27" spans="2:6" ht="32.1" customHeight="1" x14ac:dyDescent="0.2">
      <c r="B27" s="64">
        <v>23</v>
      </c>
      <c r="C27" s="68" t="s">
        <v>565</v>
      </c>
      <c r="D27" s="69" t="s">
        <v>566</v>
      </c>
      <c r="E27" s="68" t="s">
        <v>567</v>
      </c>
      <c r="F27" s="60" t="s">
        <v>523</v>
      </c>
    </row>
  </sheetData>
  <autoFilter ref="B4:F27" xr:uid="{00000000-0001-0000-0900-000000000000}"/>
  <hyperlinks>
    <hyperlink ref="D5" r:id="rId1" xr:uid="{00000000-0004-0000-0900-000000000000}"/>
    <hyperlink ref="F5" r:id="rId2" xr:uid="{00000000-0004-0000-0900-000001000000}"/>
    <hyperlink ref="D6" r:id="rId3" xr:uid="{00000000-0004-0000-0900-000002000000}"/>
    <hyperlink ref="F6" r:id="rId4" xr:uid="{00000000-0004-0000-0900-000003000000}"/>
    <hyperlink ref="D7" r:id="rId5" xr:uid="{00000000-0004-0000-0900-000004000000}"/>
    <hyperlink ref="F7" r:id="rId6" xr:uid="{00000000-0004-0000-0900-000005000000}"/>
    <hyperlink ref="D8" r:id="rId7" xr:uid="{00000000-0004-0000-0900-000006000000}"/>
    <hyperlink ref="F8" r:id="rId8" xr:uid="{00000000-0004-0000-0900-000007000000}"/>
    <hyperlink ref="D9" r:id="rId9" xr:uid="{00000000-0004-0000-0900-000008000000}"/>
    <hyperlink ref="F9" r:id="rId10" xr:uid="{00000000-0004-0000-0900-000009000000}"/>
    <hyperlink ref="D10" r:id="rId11" xr:uid="{00000000-0004-0000-0900-00000A000000}"/>
    <hyperlink ref="F10" r:id="rId12" xr:uid="{00000000-0004-0000-0900-00000B000000}"/>
    <hyperlink ref="D11" r:id="rId13" xr:uid="{00000000-0004-0000-0900-00000C000000}"/>
    <hyperlink ref="F11" r:id="rId14" xr:uid="{00000000-0004-0000-0900-00000D000000}"/>
    <hyperlink ref="D12" r:id="rId15" xr:uid="{00000000-0004-0000-0900-00000E000000}"/>
    <hyperlink ref="F12" r:id="rId16" xr:uid="{00000000-0004-0000-0900-00000F000000}"/>
    <hyperlink ref="D13" r:id="rId17" xr:uid="{00000000-0004-0000-0900-000010000000}"/>
    <hyperlink ref="F13" r:id="rId18" xr:uid="{00000000-0004-0000-0900-000011000000}"/>
    <hyperlink ref="D14" r:id="rId19" xr:uid="{00000000-0004-0000-0900-000012000000}"/>
    <hyperlink ref="F14" r:id="rId20" xr:uid="{00000000-0004-0000-0900-000013000000}"/>
    <hyperlink ref="D15" r:id="rId21" xr:uid="{00000000-0004-0000-0900-000014000000}"/>
    <hyperlink ref="F15" r:id="rId22" xr:uid="{00000000-0004-0000-0900-000015000000}"/>
    <hyperlink ref="D16" r:id="rId23" xr:uid="{00000000-0004-0000-0900-000016000000}"/>
    <hyperlink ref="F16" r:id="rId24" xr:uid="{00000000-0004-0000-0900-000017000000}"/>
    <hyperlink ref="D17" r:id="rId25" xr:uid="{00000000-0004-0000-0900-000018000000}"/>
    <hyperlink ref="F17" r:id="rId26" xr:uid="{00000000-0004-0000-0900-000019000000}"/>
    <hyperlink ref="D18" r:id="rId27" xr:uid="{00000000-0004-0000-0900-00001A000000}"/>
    <hyperlink ref="F18" r:id="rId28" xr:uid="{00000000-0004-0000-0900-00001B000000}"/>
    <hyperlink ref="D19" r:id="rId29" xr:uid="{00000000-0004-0000-0900-00001C000000}"/>
    <hyperlink ref="F19" r:id="rId30" xr:uid="{00000000-0004-0000-0900-00001D000000}"/>
    <hyperlink ref="D20" r:id="rId31" xr:uid="{00000000-0004-0000-0900-00001E000000}"/>
    <hyperlink ref="F20" r:id="rId32" xr:uid="{00000000-0004-0000-0900-00001F000000}"/>
    <hyperlink ref="D21" r:id="rId33" xr:uid="{00000000-0004-0000-0900-000020000000}"/>
    <hyperlink ref="F21" r:id="rId34" xr:uid="{00000000-0004-0000-0900-000021000000}"/>
    <hyperlink ref="D22" r:id="rId35" xr:uid="{00000000-0004-0000-0900-000022000000}"/>
    <hyperlink ref="F22" r:id="rId36" xr:uid="{00000000-0004-0000-0900-000023000000}"/>
    <hyperlink ref="D23" r:id="rId37" xr:uid="{00000000-0004-0000-0900-000024000000}"/>
    <hyperlink ref="F23" r:id="rId38" xr:uid="{00000000-0004-0000-0900-000025000000}"/>
    <hyperlink ref="D24" r:id="rId39" xr:uid="{00000000-0004-0000-0900-000026000000}"/>
    <hyperlink ref="F24" r:id="rId40" xr:uid="{00000000-0004-0000-0900-000027000000}"/>
    <hyperlink ref="D25" r:id="rId41" xr:uid="{00000000-0004-0000-0900-000028000000}"/>
    <hyperlink ref="F25" r:id="rId42" xr:uid="{00000000-0004-0000-0900-000029000000}"/>
    <hyperlink ref="D26" r:id="rId43" xr:uid="{00000000-0004-0000-0900-00002A000000}"/>
    <hyperlink ref="F26" r:id="rId44" xr:uid="{00000000-0004-0000-0900-00002B000000}"/>
    <hyperlink ref="D27" r:id="rId45" xr:uid="{00000000-0004-0000-0900-00002C000000}"/>
    <hyperlink ref="F27" r:id="rId46" xr:uid="{00000000-0004-0000-0900-00002D000000}"/>
  </hyperlinks>
  <printOptions horizontalCentered="1"/>
  <pageMargins left="0.4" right="0.4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SUMMARY</vt:lpstr>
      <vt:lpstr>SAP S_4HANA</vt:lpstr>
      <vt:lpstr>Oracle Cloud ERP</vt:lpstr>
      <vt:lpstr>Dynamics 365 BC</vt:lpstr>
      <vt:lpstr>NetSuite</vt:lpstr>
      <vt:lpstr>Sage Intacct</vt:lpstr>
      <vt:lpstr>QuickBooks Online</vt:lpstr>
      <vt:lpstr>Sources</vt:lpstr>
      <vt:lpstr>'Dynamics 365 BC'!Print_Area</vt:lpstr>
      <vt:lpstr>NetSuite!Print_Area</vt:lpstr>
      <vt:lpstr>'Oracle Cloud ERP'!Print_Area</vt:lpstr>
      <vt:lpstr>'QuickBooks Online'!Print_Area</vt:lpstr>
      <vt:lpstr>'Sage Intacct'!Print_Area</vt:lpstr>
      <vt:lpstr>'SAP S_4HANA'!Print_Area</vt:lpstr>
      <vt:lpstr>SUMMARY!Print_Area</vt:lpstr>
    </vt:vector>
  </TitlesOfParts>
  <Company>one137th.com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O'Reilly</dc:creator>
  <cp:lastModifiedBy>Timothy O'Reilly</cp:lastModifiedBy>
  <cp:lastPrinted>2026-05-29T12:28:13Z</cp:lastPrinted>
  <dcterms:created xsi:type="dcterms:W3CDTF">2026-05-28T14:11:11Z</dcterms:created>
  <dcterms:modified xsi:type="dcterms:W3CDTF">2026-06-08T14:41:15Z</dcterms:modified>
  <cp:contentStatus/>
</cp:coreProperties>
</file>